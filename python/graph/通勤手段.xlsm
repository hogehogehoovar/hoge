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onodaatom/Desktop/"/>
    </mc:Choice>
  </mc:AlternateContent>
  <bookViews>
    <workbookView xWindow="0" yWindow="460" windowWidth="28800" windowHeight="17460" tabRatio="500"/>
  </bookViews>
  <sheets>
    <sheet name="通勤手段.csv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" i="1" l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6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7" i="1"/>
  <c r="M8" i="1"/>
  <c r="M6" i="1"/>
  <c r="K6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J14" i="1"/>
  <c r="O14" i="1"/>
  <c r="J15" i="1"/>
  <c r="O15" i="1"/>
  <c r="J16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J30" i="1"/>
  <c r="O30" i="1"/>
  <c r="J31" i="1"/>
  <c r="O31" i="1"/>
  <c r="J32" i="1"/>
  <c r="O32" i="1"/>
  <c r="J33" i="1"/>
  <c r="O33" i="1"/>
  <c r="J34" i="1"/>
  <c r="O34" i="1"/>
  <c r="J35" i="1"/>
  <c r="O35" i="1"/>
  <c r="J36" i="1"/>
  <c r="O36" i="1"/>
  <c r="J37" i="1"/>
  <c r="O37" i="1"/>
  <c r="J38" i="1"/>
  <c r="O38" i="1"/>
  <c r="J39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P5" i="1"/>
  <c r="Q5" i="1"/>
  <c r="O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7" i="1"/>
  <c r="L6" i="1"/>
</calcChain>
</file>

<file path=xl/sharedStrings.xml><?xml version="1.0" encoding="utf-8"?>
<sst xmlns="http://schemas.openxmlformats.org/spreadsheetml/2006/main" count="1745" uniqueCount="69">
  <si>
    <t>統計名：</t>
  </si>
  <si>
    <t>平成22年国勢調査 従業地・通学地による人口・産業等集計（人口の男女，年齢，就業者の産業（大分類）)</t>
  </si>
  <si>
    <t>表番号：</t>
  </si>
  <si>
    <t>表題：</t>
  </si>
  <si>
    <t>常住地又は従業地・通学地による利用交通手段(9区分)別15歳以上自宅外就業者・通学者数 全国，都道府県，市区町村</t>
  </si>
  <si>
    <t>実施年月：</t>
  </si>
  <si>
    <t>2010年</t>
  </si>
  <si>
    <t>10月</t>
  </si>
  <si>
    <t>市区町村時点（年月日）：</t>
  </si>
  <si>
    <t>-</t>
  </si>
  <si>
    <t>表章項目：</t>
  </si>
  <si>
    <t>15歳以上自宅外就業者・15歳以上通学者【人】</t>
  </si>
  <si>
    <t>地域（2010）：</t>
  </si>
  <si>
    <t>北海道</t>
  </si>
  <si>
    <t>時間軸(年次)：</t>
  </si>
  <si>
    <t>常住地による15歳以上自宅外就業者・通学者数</t>
  </si>
  <si>
    <t>鉄道・電車</t>
  </si>
  <si>
    <t>自家用車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</si>
  <si>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</si>
  <si>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</si>
  <si>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</si>
  <si>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</si>
  <si>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</si>
  <si>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</si>
  <si>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</si>
  <si>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</si>
  <si>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</si>
  <si>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</si>
  <si>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</si>
  <si>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</si>
  <si>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</si>
  <si>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</si>
  <si>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</si>
  <si>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</si>
  <si>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</si>
  <si>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</si>
  <si>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</si>
  <si>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</si>
  <si>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</si>
  <si>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</si>
  <si>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</si>
  <si>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</si>
  <si>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</si>
  <si>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</si>
  <si>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</si>
  <si>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</si>
  <si>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</si>
  <si>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</si>
  <si>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</si>
  <si>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</si>
  <si>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</si>
  <si>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</si>
  <si>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</si>
  <si>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</si>
  <si>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</si>
  <si>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</si>
  <si>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</si>
  <si>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</si>
  <si>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</si>
  <si>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</si>
  <si>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</si>
  <si>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</si>
  <si>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</si>
  <si>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</si>
  <si>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都道府県</t>
    <rPh sb="0" eb="4">
      <t>トド</t>
    </rPh>
    <phoneticPr fontId="2"/>
  </si>
  <si>
    <t>2010年国勢調査通学通勤</t>
    <rPh sb="4" eb="5">
      <t>ネn</t>
    </rPh>
    <rPh sb="5" eb="9">
      <t>コクセイチョウs</t>
    </rPh>
    <rPh sb="9" eb="11">
      <t>ツウg</t>
    </rPh>
    <rPh sb="11" eb="13">
      <t>ツウキn</t>
    </rPh>
    <phoneticPr fontId="2"/>
  </si>
  <si>
    <t>割合</t>
    <rPh sb="0" eb="2">
      <t>ワリア</t>
    </rPh>
    <phoneticPr fontId="2"/>
  </si>
  <si>
    <t>総数（利用交通手段）</t>
  </si>
  <si>
    <t>総数</t>
    <rPh sb="0" eb="2">
      <t>ソウス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</si>
</sst>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3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Fill="1" applyBorder="1"/>
    <xf numFmtId="0" fontId="0" fillId="0" borderId="8" xfId="0" applyBorder="1"/>
    <xf numFmtId="9" fontId="0" fillId="0" borderId="0" xfId="1" applyFont="1"/>
  </cellXfs>
  <cellStyles count="2">
    <cellStyle name="パーセント" xfId="1" builtinId="5"/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'通勤手段.csv'!$J$6:$J$52</c:f>
              <c:strCache>
                <c:ptCount val="47"/>
                <c:pt idx="0">
                  <c:v>北海道</c:v>
                </c:pt>
                <c:pt idx="1">
                  <c:v>青森県</c:v>
                </c:pt>
                <c:pt idx="2">
                  <c:v>岩手県</c:v>
                </c:pt>
                <c:pt idx="3">
                  <c:v>宮城県</c:v>
                </c:pt>
                <c:pt idx="4">
                  <c:v>秋田県</c:v>
                </c:pt>
                <c:pt idx="5">
                  <c:v>山形県</c:v>
                </c:pt>
                <c:pt idx="6">
                  <c:v>福島県</c:v>
                </c:pt>
                <c:pt idx="7">
                  <c:v>茨城県</c:v>
                </c:pt>
                <c:pt idx="8">
                  <c:v>栃木県</c:v>
                </c:pt>
                <c:pt idx="9">
                  <c:v>群馬県</c:v>
                </c:pt>
                <c:pt idx="10">
                  <c:v>埼玉県</c:v>
                </c:pt>
                <c:pt idx="11">
                  <c:v>千葉県</c:v>
                </c:pt>
                <c:pt idx="12">
                  <c:v>東京都</c:v>
                </c:pt>
                <c:pt idx="13">
                  <c:v>神奈川県</c:v>
                </c:pt>
                <c:pt idx="14">
                  <c:v>新潟県</c:v>
                </c:pt>
                <c:pt idx="15">
                  <c:v>富山県</c:v>
                </c:pt>
                <c:pt idx="16">
                  <c:v>石川県</c:v>
                </c:pt>
                <c:pt idx="17">
                  <c:v>福井県</c:v>
                </c:pt>
                <c:pt idx="18">
                  <c:v>山梨県</c:v>
                </c:pt>
                <c:pt idx="19">
                  <c:v>長野県</c:v>
                </c:pt>
                <c:pt idx="20">
                  <c:v>岐阜県</c:v>
                </c:pt>
                <c:pt idx="21">
                  <c:v>静岡県</c:v>
                </c:pt>
                <c:pt idx="22">
                  <c:v>愛知県</c:v>
                </c:pt>
                <c:pt idx="23">
                  <c:v>三重県</c:v>
                </c:pt>
                <c:pt idx="24">
                  <c:v>滋賀県</c:v>
                </c:pt>
                <c:pt idx="25">
                  <c:v>京都府</c:v>
                </c:pt>
                <c:pt idx="26">
                  <c:v>大阪府</c:v>
                </c:pt>
                <c:pt idx="27">
                  <c:v>兵庫県</c:v>
                </c:pt>
                <c:pt idx="28">
                  <c:v>奈良県</c:v>
                </c:pt>
                <c:pt idx="29">
                  <c:v>和歌山県</c:v>
                </c:pt>
                <c:pt idx="30">
                  <c:v>鳥取県</c:v>
                </c:pt>
                <c:pt idx="31">
                  <c:v>島根県</c:v>
                </c:pt>
                <c:pt idx="32">
                  <c:v>岡山県</c:v>
                </c:pt>
                <c:pt idx="33">
                  <c:v>広島県</c:v>
                </c:pt>
                <c:pt idx="34">
                  <c:v>山口県</c:v>
                </c:pt>
                <c:pt idx="35">
                  <c:v>徳島県</c:v>
                </c:pt>
                <c:pt idx="36">
                  <c:v>香川県</c:v>
                </c:pt>
                <c:pt idx="37">
                  <c:v>愛媛県</c:v>
                </c:pt>
                <c:pt idx="38">
                  <c:v>高知県</c:v>
                </c:pt>
                <c:pt idx="39">
                  <c:v>福岡県</c:v>
                </c:pt>
                <c:pt idx="40">
                  <c:v>佐賀県</c:v>
                </c:pt>
                <c:pt idx="41">
                  <c:v>長崎県</c:v>
                </c:pt>
                <c:pt idx="42">
                  <c:v>熊本県</c:v>
                </c:pt>
                <c:pt idx="43">
                  <c:v>大分県</c:v>
                </c:pt>
                <c:pt idx="44">
                  <c:v>宮崎県</c:v>
                </c:pt>
                <c:pt idx="45">
                  <c:v>鹿児島県</c:v>
                </c:pt>
                <c:pt idx="46">
                  <c:v>沖縄県</c:v>
                </c:pt>
              </c:strCache>
            </c:strRef>
          </c:xVal>
          <c:yVal>
            <c:numRef>
              <c:f>'通勤手段.csv'!$K$6:$K$52</c:f>
              <c:numCache>
                <c:formatCode>General</c:formatCode>
                <c:ptCount val="47"/>
                <c:pt idx="0">
                  <c:v>335560.0</c:v>
                </c:pt>
                <c:pt idx="1">
                  <c:v>17980.0</c:v>
                </c:pt>
                <c:pt idx="2">
                  <c:v>30065.0</c:v>
                </c:pt>
                <c:pt idx="3">
                  <c:v>162291.0</c:v>
                </c:pt>
                <c:pt idx="4">
                  <c:v>19245.0</c:v>
                </c:pt>
                <c:pt idx="5">
                  <c:v>19105.0</c:v>
                </c:pt>
                <c:pt idx="6">
                  <c:v>48467.0</c:v>
                </c:pt>
                <c:pt idx="7">
                  <c:v>172746.0</c:v>
                </c:pt>
                <c:pt idx="8">
                  <c:v>73210.0</c:v>
                </c:pt>
                <c:pt idx="9">
                  <c:v>59677.0</c:v>
                </c:pt>
                <c:pt idx="10">
                  <c:v>1.406913E6</c:v>
                </c:pt>
                <c:pt idx="11">
                  <c:v>1.244437E6</c:v>
                </c:pt>
                <c:pt idx="12">
                  <c:v>3.21681E6</c:v>
                </c:pt>
                <c:pt idx="13">
                  <c:v>2.200094E6</c:v>
                </c:pt>
                <c:pt idx="14">
                  <c:v>68520.0</c:v>
                </c:pt>
                <c:pt idx="15">
                  <c:v>33269.0</c:v>
                </c:pt>
                <c:pt idx="16">
                  <c:v>25311.0</c:v>
                </c:pt>
                <c:pt idx="17">
                  <c:v>17131.0</c:v>
                </c:pt>
                <c:pt idx="18">
                  <c:v>27774.0</c:v>
                </c:pt>
                <c:pt idx="19">
                  <c:v>69689.0</c:v>
                </c:pt>
                <c:pt idx="20">
                  <c:v>102016.0</c:v>
                </c:pt>
                <c:pt idx="21">
                  <c:v>151217.0</c:v>
                </c:pt>
                <c:pt idx="22">
                  <c:v>764793.0</c:v>
                </c:pt>
                <c:pt idx="23">
                  <c:v>104658.0</c:v>
                </c:pt>
                <c:pt idx="24">
                  <c:v>145072.0</c:v>
                </c:pt>
                <c:pt idx="25">
                  <c:v>328133.0</c:v>
                </c:pt>
                <c:pt idx="26">
                  <c:v>1.568566E6</c:v>
                </c:pt>
                <c:pt idx="27">
                  <c:v>869666.0</c:v>
                </c:pt>
                <c:pt idx="28">
                  <c:v>239396.0</c:v>
                </c:pt>
                <c:pt idx="29">
                  <c:v>45564.0</c:v>
                </c:pt>
                <c:pt idx="30">
                  <c:v>11361.0</c:v>
                </c:pt>
                <c:pt idx="31">
                  <c:v>8430.0</c:v>
                </c:pt>
                <c:pt idx="32">
                  <c:v>65095.0</c:v>
                </c:pt>
                <c:pt idx="33">
                  <c:v>173637.0</c:v>
                </c:pt>
                <c:pt idx="34">
                  <c:v>38093.0</c:v>
                </c:pt>
                <c:pt idx="35">
                  <c:v>11393.0</c:v>
                </c:pt>
                <c:pt idx="36">
                  <c:v>31352.0</c:v>
                </c:pt>
                <c:pt idx="37">
                  <c:v>24780.0</c:v>
                </c:pt>
                <c:pt idx="38">
                  <c:v>11670.0</c:v>
                </c:pt>
                <c:pt idx="39">
                  <c:v>397798.0</c:v>
                </c:pt>
                <c:pt idx="40">
                  <c:v>23486.0</c:v>
                </c:pt>
                <c:pt idx="41">
                  <c:v>33070.0</c:v>
                </c:pt>
                <c:pt idx="42">
                  <c:v>30840.0</c:v>
                </c:pt>
                <c:pt idx="43">
                  <c:v>21949.0</c:v>
                </c:pt>
                <c:pt idx="44">
                  <c:v>9434.0</c:v>
                </c:pt>
                <c:pt idx="45">
                  <c:v>32456.0</c:v>
                </c:pt>
                <c:pt idx="46">
                  <c:v>7761.0</c:v>
                </c:pt>
              </c:numCache>
            </c:numRef>
          </c:yVal>
          <c:smooth val="0"/>
        </c:ser>
        <c:ser>
          <c:idx val="1"/>
          <c:order val="1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'通勤手段.csv'!$J$6:$J$52</c:f>
              <c:strCache>
                <c:ptCount val="47"/>
                <c:pt idx="0">
                  <c:v>北海道</c:v>
                </c:pt>
                <c:pt idx="1">
                  <c:v>青森県</c:v>
                </c:pt>
                <c:pt idx="2">
                  <c:v>岩手県</c:v>
                </c:pt>
                <c:pt idx="3">
                  <c:v>宮城県</c:v>
                </c:pt>
                <c:pt idx="4">
                  <c:v>秋田県</c:v>
                </c:pt>
                <c:pt idx="5">
                  <c:v>山形県</c:v>
                </c:pt>
                <c:pt idx="6">
                  <c:v>福島県</c:v>
                </c:pt>
                <c:pt idx="7">
                  <c:v>茨城県</c:v>
                </c:pt>
                <c:pt idx="8">
                  <c:v>栃木県</c:v>
                </c:pt>
                <c:pt idx="9">
                  <c:v>群馬県</c:v>
                </c:pt>
                <c:pt idx="10">
                  <c:v>埼玉県</c:v>
                </c:pt>
                <c:pt idx="11">
                  <c:v>千葉県</c:v>
                </c:pt>
                <c:pt idx="12">
                  <c:v>東京都</c:v>
                </c:pt>
                <c:pt idx="13">
                  <c:v>神奈川県</c:v>
                </c:pt>
                <c:pt idx="14">
                  <c:v>新潟県</c:v>
                </c:pt>
                <c:pt idx="15">
                  <c:v>富山県</c:v>
                </c:pt>
                <c:pt idx="16">
                  <c:v>石川県</c:v>
                </c:pt>
                <c:pt idx="17">
                  <c:v>福井県</c:v>
                </c:pt>
                <c:pt idx="18">
                  <c:v>山梨県</c:v>
                </c:pt>
                <c:pt idx="19">
                  <c:v>長野県</c:v>
                </c:pt>
                <c:pt idx="20">
                  <c:v>岐阜県</c:v>
                </c:pt>
                <c:pt idx="21">
                  <c:v>静岡県</c:v>
                </c:pt>
                <c:pt idx="22">
                  <c:v>愛知県</c:v>
                </c:pt>
                <c:pt idx="23">
                  <c:v>三重県</c:v>
                </c:pt>
                <c:pt idx="24">
                  <c:v>滋賀県</c:v>
                </c:pt>
                <c:pt idx="25">
                  <c:v>京都府</c:v>
                </c:pt>
                <c:pt idx="26">
                  <c:v>大阪府</c:v>
                </c:pt>
                <c:pt idx="27">
                  <c:v>兵庫県</c:v>
                </c:pt>
                <c:pt idx="28">
                  <c:v>奈良県</c:v>
                </c:pt>
                <c:pt idx="29">
                  <c:v>和歌山県</c:v>
                </c:pt>
                <c:pt idx="30">
                  <c:v>鳥取県</c:v>
                </c:pt>
                <c:pt idx="31">
                  <c:v>島根県</c:v>
                </c:pt>
                <c:pt idx="32">
                  <c:v>岡山県</c:v>
                </c:pt>
                <c:pt idx="33">
                  <c:v>広島県</c:v>
                </c:pt>
                <c:pt idx="34">
                  <c:v>山口県</c:v>
                </c:pt>
                <c:pt idx="35">
                  <c:v>徳島県</c:v>
                </c:pt>
                <c:pt idx="36">
                  <c:v>香川県</c:v>
                </c:pt>
                <c:pt idx="37">
                  <c:v>愛媛県</c:v>
                </c:pt>
                <c:pt idx="38">
                  <c:v>高知県</c:v>
                </c:pt>
                <c:pt idx="39">
                  <c:v>福岡県</c:v>
                </c:pt>
                <c:pt idx="40">
                  <c:v>佐賀県</c:v>
                </c:pt>
                <c:pt idx="41">
                  <c:v>長崎県</c:v>
                </c:pt>
                <c:pt idx="42">
                  <c:v>熊本県</c:v>
                </c:pt>
                <c:pt idx="43">
                  <c:v>大分県</c:v>
                </c:pt>
                <c:pt idx="44">
                  <c:v>宮崎県</c:v>
                </c:pt>
                <c:pt idx="45">
                  <c:v>鹿児島県</c:v>
                </c:pt>
                <c:pt idx="46">
                  <c:v>沖縄県</c:v>
                </c:pt>
              </c:strCache>
            </c:strRef>
          </c:xVal>
          <c:yVal>
            <c:numRef>
              <c:f>'通勤手段.csv'!$L$6:$L$52</c:f>
              <c:numCache>
                <c:formatCode>General</c:formatCode>
                <c:ptCount val="47"/>
                <c:pt idx="0">
                  <c:v>1.334573E6</c:v>
                </c:pt>
                <c:pt idx="1">
                  <c:v>414952.0</c:v>
                </c:pt>
                <c:pt idx="2">
                  <c:v>426622.0</c:v>
                </c:pt>
                <c:pt idx="3">
                  <c:v>632824.0</c:v>
                </c:pt>
                <c:pt idx="4">
                  <c:v>359924.0</c:v>
                </c:pt>
                <c:pt idx="5">
                  <c:v>410563.0</c:v>
                </c:pt>
                <c:pt idx="6">
                  <c:v>663722.0</c:v>
                </c:pt>
                <c:pt idx="7">
                  <c:v>951028.0</c:v>
                </c:pt>
                <c:pt idx="8">
                  <c:v>680689.0</c:v>
                </c:pt>
                <c:pt idx="9">
                  <c:v>702752.0</c:v>
                </c:pt>
                <c:pt idx="10">
                  <c:v>1.182007E6</c:v>
                </c:pt>
                <c:pt idx="11">
                  <c:v>1.045033E6</c:v>
                </c:pt>
                <c:pt idx="12">
                  <c:v>578127.0</c:v>
                </c:pt>
                <c:pt idx="13">
                  <c:v>892975.0</c:v>
                </c:pt>
                <c:pt idx="14">
                  <c:v>817186.0</c:v>
                </c:pt>
                <c:pt idx="15">
                  <c:v>421135.0</c:v>
                </c:pt>
                <c:pt idx="16">
                  <c:v>405626.0</c:v>
                </c:pt>
                <c:pt idx="17">
                  <c:v>301186.0</c:v>
                </c:pt>
                <c:pt idx="18">
                  <c:v>279837.0</c:v>
                </c:pt>
                <c:pt idx="19">
                  <c:v>740006.0</c:v>
                </c:pt>
                <c:pt idx="20">
                  <c:v>705792.0</c:v>
                </c:pt>
                <c:pt idx="21">
                  <c:v>1.179771E6</c:v>
                </c:pt>
                <c:pt idx="22">
                  <c:v>1.926794E6</c:v>
                </c:pt>
                <c:pt idx="23">
                  <c:v>608360.0</c:v>
                </c:pt>
                <c:pt idx="24">
                  <c:v>399816.0</c:v>
                </c:pt>
                <c:pt idx="25">
                  <c:v>366421.0</c:v>
                </c:pt>
                <c:pt idx="26">
                  <c:v>779645.0</c:v>
                </c:pt>
                <c:pt idx="27">
                  <c:v>931777.0</c:v>
                </c:pt>
                <c:pt idx="28">
                  <c:v>252393.0</c:v>
                </c:pt>
                <c:pt idx="29">
                  <c:v>253884.0</c:v>
                </c:pt>
                <c:pt idx="30">
                  <c:v>199047.0</c:v>
                </c:pt>
                <c:pt idx="31">
                  <c:v>246999.0</c:v>
                </c:pt>
                <c:pt idx="32">
                  <c:v>590326.0</c:v>
                </c:pt>
                <c:pt idx="33">
                  <c:v>663678.0</c:v>
                </c:pt>
                <c:pt idx="34">
                  <c:v>452380.0</c:v>
                </c:pt>
                <c:pt idx="35">
                  <c:v>226194.0</c:v>
                </c:pt>
                <c:pt idx="36">
                  <c:v>297473.0</c:v>
                </c:pt>
                <c:pt idx="37">
                  <c:v>354795.0</c:v>
                </c:pt>
                <c:pt idx="38">
                  <c:v>191601.0</c:v>
                </c:pt>
                <c:pt idx="39">
                  <c:v>1.148299E6</c:v>
                </c:pt>
                <c:pt idx="40">
                  <c:v>279014.0</c:v>
                </c:pt>
                <c:pt idx="41">
                  <c:v>358588.0</c:v>
                </c:pt>
                <c:pt idx="42">
                  <c:v>521559.0</c:v>
                </c:pt>
                <c:pt idx="43">
                  <c:v>363796.0</c:v>
                </c:pt>
                <c:pt idx="44">
                  <c:v>359031.0</c:v>
                </c:pt>
                <c:pt idx="45">
                  <c:v>480366.0</c:v>
                </c:pt>
                <c:pt idx="46">
                  <c:v>379202.0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24322064"/>
        <c:axId val="-624320016"/>
      </c:scatterChart>
      <c:valAx>
        <c:axId val="-62432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4320016"/>
        <c:crosses val="autoZero"/>
        <c:crossBetween val="midCat"/>
      </c:valAx>
      <c:valAx>
        <c:axId val="-6243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432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407276</xdr:colOff>
      <xdr:row>51</xdr:row>
      <xdr:rowOff>73572</xdr:rowOff>
    </xdr:from>
    <xdr:to>
      <xdr:col>9</xdr:col>
      <xdr:colOff>483184</xdr:colOff>
      <xdr:row>62</xdr:row>
      <xdr:rowOff>72404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657"/>
  <sheetViews>
    <sheetView tabSelected="1" topLeftCell="I44" zoomScale="87" workbookViewId="0">
      <selection activeCell="M62" sqref="M62"/>
    </sheetView>
  </sheetViews>
  <sheetFormatPr baseColWidth="12" defaultRowHeight="20" x14ac:dyDescent="0.3"/>
  <sheetData>
    <row r="1" spans="1:22" x14ac:dyDescent="0.3">
      <c r="A1" t="s">
        <v>0</v>
      </c>
      <c r="B1" t="s">
        <v>1</v>
      </c>
      <c r="S1" t="s">
        <v>0</v>
      </c>
      <c r="T1" t="s">
        <v>1</v>
      </c>
    </row>
    <row r="2" spans="1:22" x14ac:dyDescent="0.3">
      <c r="A2" t="s">
        <v>2</v>
      </c>
      <c r="B2">
        <v>1200</v>
      </c>
      <c r="S2" t="s">
        <v>2</v>
      </c>
      <c r="T2">
        <v>1200</v>
      </c>
    </row>
    <row r="3" spans="1:22" ht="21" thickBot="1" x14ac:dyDescent="0.35">
      <c r="A3" t="s">
        <v>3</v>
      </c>
      <c r="B3" t="s">
        <v>4</v>
      </c>
      <c r="S3" t="s">
        <v>3</v>
      </c>
      <c r="T3" t="s">
        <v>4</v>
      </c>
    </row>
    <row r="4" spans="1:22" ht="21" thickBot="1" x14ac:dyDescent="0.35">
      <c r="A4" t="s">
        <v>5</v>
      </c>
      <c r="B4" t="s">
        <v>6</v>
      </c>
      <c r="C4" t="s">
        <v>7</v>
      </c>
      <c r="J4" s="4" t="s">
        <v>65</v>
      </c>
      <c r="K4" s="8"/>
      <c r="L4" s="8"/>
      <c r="M4" s="9"/>
      <c r="O4" t="s">
        <v>66</v>
      </c>
      <c r="S4" t="s">
        <v>5</v>
      </c>
      <c r="T4" t="s">
        <v>6</v>
      </c>
      <c r="U4" t="s">
        <v>7</v>
      </c>
    </row>
    <row r="5" spans="1:22" ht="21" thickBot="1" x14ac:dyDescent="0.35">
      <c r="A5" t="s">
        <v>8</v>
      </c>
      <c r="B5" t="s">
        <v>9</v>
      </c>
      <c r="J5" s="3" t="s">
        <v>64</v>
      </c>
      <c r="K5" s="7" t="s">
        <v>16</v>
      </c>
      <c r="L5" s="3" t="s">
        <v>17</v>
      </c>
      <c r="M5" s="10" t="s">
        <v>68</v>
      </c>
      <c r="O5" t="str">
        <f>J5</f>
        <v>都道府県</v>
      </c>
      <c r="P5" t="str">
        <f t="shared" ref="P5:Q5" si="0">K5</f>
        <v>鉄道・電車</v>
      </c>
      <c r="Q5" t="str">
        <f t="shared" si="0"/>
        <v>自家用車</v>
      </c>
      <c r="S5" t="s">
        <v>8</v>
      </c>
      <c r="T5" t="s">
        <v>9</v>
      </c>
    </row>
    <row r="6" spans="1:22" x14ac:dyDescent="0.3">
      <c r="A6" t="s">
        <v>10</v>
      </c>
      <c r="B6">
        <v>380</v>
      </c>
      <c r="C6" t="s">
        <v>11</v>
      </c>
      <c r="J6" s="2" t="str">
        <f>INDEX($C$7:$C$664,ROW(A1)*14-13)</f>
        <v>北海道</v>
      </c>
      <c r="K6" s="5">
        <f>INDEX($D$7:$D$664,ROW(A1)*14-8)</f>
        <v>335560</v>
      </c>
      <c r="L6" s="2">
        <f>INDEX($D$7:$D$664,ROW(A1)*14-7)</f>
        <v>1334573</v>
      </c>
      <c r="M6" s="11">
        <f>INDEX($V$12:$V$610,ROW(A1)*13-12)</f>
        <v>2441260</v>
      </c>
      <c r="O6" t="str">
        <f t="shared" ref="O6:O52" si="1">J6</f>
        <v>北海道</v>
      </c>
      <c r="P6" s="12">
        <f>K6/M6</f>
        <v>0.13745361002105469</v>
      </c>
      <c r="Q6" s="12">
        <f>L6/M6</f>
        <v>0.5466738487502355</v>
      </c>
      <c r="S6" t="s">
        <v>10</v>
      </c>
      <c r="T6">
        <v>380</v>
      </c>
      <c r="U6" t="s">
        <v>11</v>
      </c>
    </row>
    <row r="7" spans="1:22" x14ac:dyDescent="0.3">
      <c r="A7" t="s">
        <v>12</v>
      </c>
      <c r="B7">
        <v>1000</v>
      </c>
      <c r="C7" t="s">
        <v>13</v>
      </c>
      <c r="J7" s="2" t="str">
        <f t="shared" ref="J7:J52" si="2">INDEX($C$7:$C$664,ROW(A2)*14-13)</f>
        <v>青森県</v>
      </c>
      <c r="K7" s="5">
        <f>INDEX($D$7:$D$664,ROW(A2)*14-8)</f>
        <v>17980</v>
      </c>
      <c r="L7" s="2">
        <f t="shared" ref="L7:L52" si="3">INDEX($D$7:$D$664,ROW(A2)*14-7)</f>
        <v>414952</v>
      </c>
      <c r="M7" s="2">
        <f t="shared" ref="M7:M70" si="4">INDEX($V$12:$V$610,ROW(A2)*13-12)</f>
        <v>589906</v>
      </c>
      <c r="O7" t="str">
        <f t="shared" si="1"/>
        <v>青森県</v>
      </c>
      <c r="P7" s="12">
        <f t="shared" ref="P7:P52" si="5">K7/M7</f>
        <v>3.0479432316335146E-2</v>
      </c>
      <c r="Q7" s="12">
        <f t="shared" ref="Q7:Q52" si="6">L7/M7</f>
        <v>0.7034205449681814</v>
      </c>
      <c r="S7" t="s">
        <v>12</v>
      </c>
      <c r="T7">
        <v>1000</v>
      </c>
      <c r="U7" t="s">
        <v>13</v>
      </c>
    </row>
    <row r="8" spans="1:22" x14ac:dyDescent="0.3">
      <c r="A8" t="s">
        <v>14</v>
      </c>
      <c r="B8">
        <v>2010000000</v>
      </c>
      <c r="C8" t="s">
        <v>6</v>
      </c>
      <c r="J8" s="2" t="str">
        <f t="shared" si="2"/>
        <v>岩手県</v>
      </c>
      <c r="K8" s="5">
        <f t="shared" ref="K8:K52" si="7">INDEX($D$7:$D$664,ROW(A3)*14-8)</f>
        <v>30065</v>
      </c>
      <c r="L8" s="2">
        <f t="shared" si="3"/>
        <v>426622</v>
      </c>
      <c r="M8" s="2">
        <f t="shared" si="4"/>
        <v>592171</v>
      </c>
      <c r="O8" t="str">
        <f t="shared" si="1"/>
        <v>岩手県</v>
      </c>
      <c r="P8" s="12">
        <f t="shared" si="5"/>
        <v>5.0770807756543294E-2</v>
      </c>
      <c r="Q8" s="12">
        <f t="shared" si="6"/>
        <v>0.72043717101985749</v>
      </c>
      <c r="S8" t="s">
        <v>14</v>
      </c>
      <c r="T8">
        <v>2010000000</v>
      </c>
      <c r="U8" t="s">
        <v>6</v>
      </c>
    </row>
    <row r="9" spans="1:22" x14ac:dyDescent="0.3">
      <c r="J9" s="2" t="str">
        <f t="shared" si="2"/>
        <v>宮城県</v>
      </c>
      <c r="K9" s="5">
        <f t="shared" si="7"/>
        <v>162291</v>
      </c>
      <c r="L9" s="2">
        <f t="shared" si="3"/>
        <v>632824</v>
      </c>
      <c r="M9" s="2">
        <f t="shared" si="4"/>
        <v>1072791</v>
      </c>
      <c r="O9" t="str">
        <f t="shared" si="1"/>
        <v>宮城県</v>
      </c>
      <c r="P9" s="12">
        <f t="shared" si="5"/>
        <v>0.15127923332690152</v>
      </c>
      <c r="Q9" s="12">
        <f t="shared" si="6"/>
        <v>0.58988563476017231</v>
      </c>
    </row>
    <row r="10" spans="1:22" x14ac:dyDescent="0.3">
      <c r="D10">
        <v>17</v>
      </c>
      <c r="J10" s="2" t="str">
        <f t="shared" si="2"/>
        <v>秋田県</v>
      </c>
      <c r="K10" s="5">
        <f t="shared" si="7"/>
        <v>19245</v>
      </c>
      <c r="L10" s="2">
        <f t="shared" si="3"/>
        <v>359924</v>
      </c>
      <c r="M10" s="2">
        <f t="shared" si="4"/>
        <v>468273</v>
      </c>
      <c r="O10" t="str">
        <f t="shared" si="1"/>
        <v>秋田県</v>
      </c>
      <c r="P10" s="12">
        <f t="shared" si="5"/>
        <v>4.1097821142794908E-2</v>
      </c>
      <c r="Q10" s="12">
        <f t="shared" si="6"/>
        <v>0.76862001439331329</v>
      </c>
      <c r="V10">
        <v>17</v>
      </c>
    </row>
    <row r="11" spans="1:22" x14ac:dyDescent="0.3">
      <c r="D11" t="s">
        <v>15</v>
      </c>
      <c r="J11" s="2" t="str">
        <f t="shared" si="2"/>
        <v>山形県</v>
      </c>
      <c r="K11" s="5">
        <f t="shared" si="7"/>
        <v>19105</v>
      </c>
      <c r="L11" s="2">
        <f t="shared" si="3"/>
        <v>410563</v>
      </c>
      <c r="M11" s="2">
        <f t="shared" si="4"/>
        <v>523789</v>
      </c>
      <c r="O11" t="str">
        <f t="shared" si="1"/>
        <v>山形県</v>
      </c>
      <c r="P11" s="12">
        <f t="shared" si="5"/>
        <v>3.6474610959756695E-2</v>
      </c>
      <c r="Q11" s="12">
        <f t="shared" si="6"/>
        <v>0.78383280290345925</v>
      </c>
      <c r="V11" t="s">
        <v>15</v>
      </c>
    </row>
    <row r="12" spans="1:22" x14ac:dyDescent="0.3">
      <c r="A12">
        <v>3</v>
      </c>
      <c r="C12" t="s">
        <v>16</v>
      </c>
      <c r="D12" s="1">
        <v>335560</v>
      </c>
      <c r="J12" s="2" t="str">
        <f t="shared" si="2"/>
        <v>福島県</v>
      </c>
      <c r="K12" s="5">
        <f t="shared" si="7"/>
        <v>48467</v>
      </c>
      <c r="L12" s="2">
        <f t="shared" si="3"/>
        <v>663722</v>
      </c>
      <c r="M12" s="2">
        <f t="shared" si="4"/>
        <v>891053</v>
      </c>
      <c r="O12" t="str">
        <f t="shared" si="1"/>
        <v>福島県</v>
      </c>
      <c r="P12" s="12">
        <f t="shared" si="5"/>
        <v>5.4392948567593621E-2</v>
      </c>
      <c r="Q12" s="12">
        <f t="shared" si="6"/>
        <v>0.74487376171787756</v>
      </c>
      <c r="S12">
        <v>0</v>
      </c>
      <c r="U12" t="s">
        <v>67</v>
      </c>
      <c r="V12" s="1">
        <v>2441260</v>
      </c>
    </row>
    <row r="13" spans="1:22" x14ac:dyDescent="0.3">
      <c r="A13">
        <v>6</v>
      </c>
      <c r="C13" t="s">
        <v>17</v>
      </c>
      <c r="D13" s="1">
        <v>1334573</v>
      </c>
      <c r="J13" s="2" t="str">
        <f t="shared" si="2"/>
        <v>茨城県</v>
      </c>
      <c r="K13" s="5">
        <f t="shared" si="7"/>
        <v>172746</v>
      </c>
      <c r="L13" s="2">
        <f t="shared" si="3"/>
        <v>951028</v>
      </c>
      <c r="M13" s="2">
        <f t="shared" si="4"/>
        <v>1355593</v>
      </c>
      <c r="O13" t="str">
        <f t="shared" si="1"/>
        <v>茨城県</v>
      </c>
      <c r="P13" s="12">
        <f t="shared" si="5"/>
        <v>0.12743205372113903</v>
      </c>
      <c r="Q13" s="12">
        <f t="shared" si="6"/>
        <v>0.7015586536666979</v>
      </c>
    </row>
    <row r="14" spans="1:22" x14ac:dyDescent="0.3">
      <c r="J14" s="2" t="str">
        <f t="shared" si="2"/>
        <v>栃木県</v>
      </c>
      <c r="K14" s="5">
        <f t="shared" si="7"/>
        <v>73210</v>
      </c>
      <c r="L14" s="2">
        <f t="shared" si="3"/>
        <v>680689</v>
      </c>
      <c r="M14" s="2">
        <f t="shared" si="4"/>
        <v>929485</v>
      </c>
      <c r="O14" t="str">
        <f t="shared" si="1"/>
        <v>栃木県</v>
      </c>
      <c r="P14" s="12">
        <f t="shared" si="5"/>
        <v>7.8764046757075157E-2</v>
      </c>
      <c r="Q14" s="12">
        <f t="shared" si="6"/>
        <v>0.73232919304776301</v>
      </c>
      <c r="S14" t="s">
        <v>0</v>
      </c>
      <c r="T14" t="s">
        <v>1</v>
      </c>
    </row>
    <row r="15" spans="1:22" x14ac:dyDescent="0.3">
      <c r="A15" t="s">
        <v>0</v>
      </c>
      <c r="B15" t="s">
        <v>1</v>
      </c>
      <c r="J15" s="2" t="str">
        <f t="shared" si="2"/>
        <v>群馬県</v>
      </c>
      <c r="K15" s="5">
        <f t="shared" si="7"/>
        <v>59677</v>
      </c>
      <c r="L15" s="2">
        <f t="shared" si="3"/>
        <v>702752</v>
      </c>
      <c r="M15" s="2">
        <f t="shared" si="4"/>
        <v>924019</v>
      </c>
      <c r="O15" t="str">
        <f t="shared" si="1"/>
        <v>群馬県</v>
      </c>
      <c r="P15" s="12">
        <f t="shared" si="5"/>
        <v>6.4584169806032127E-2</v>
      </c>
      <c r="Q15" s="12">
        <f t="shared" si="6"/>
        <v>0.76053847377597217</v>
      </c>
      <c r="S15" t="s">
        <v>2</v>
      </c>
      <c r="T15">
        <v>1200</v>
      </c>
    </row>
    <row r="16" spans="1:22" x14ac:dyDescent="0.3">
      <c r="A16" t="s">
        <v>2</v>
      </c>
      <c r="B16">
        <v>1200</v>
      </c>
      <c r="J16" s="2" t="str">
        <f t="shared" si="2"/>
        <v>埼玉県</v>
      </c>
      <c r="K16" s="5">
        <f t="shared" si="7"/>
        <v>1406913</v>
      </c>
      <c r="L16" s="2">
        <f t="shared" si="3"/>
        <v>1182007</v>
      </c>
      <c r="M16" s="2">
        <f t="shared" si="4"/>
        <v>3482958</v>
      </c>
      <c r="O16" t="str">
        <f t="shared" si="1"/>
        <v>埼玉県</v>
      </c>
      <c r="P16" s="12">
        <f t="shared" si="5"/>
        <v>0.40394199413257353</v>
      </c>
      <c r="Q16" s="12">
        <f t="shared" si="6"/>
        <v>0.33936872049562472</v>
      </c>
      <c r="S16" t="s">
        <v>3</v>
      </c>
      <c r="T16" t="s">
        <v>4</v>
      </c>
    </row>
    <row r="17" spans="1:22" x14ac:dyDescent="0.3">
      <c r="A17" t="s">
        <v>3</v>
      </c>
      <c r="B17" t="s">
        <v>4</v>
      </c>
      <c r="J17" s="2" t="str">
        <f t="shared" si="2"/>
        <v>千葉県</v>
      </c>
      <c r="K17" s="5">
        <f t="shared" si="7"/>
        <v>1244437</v>
      </c>
      <c r="L17" s="2">
        <f t="shared" si="3"/>
        <v>1045033</v>
      </c>
      <c r="M17" s="2">
        <f t="shared" si="4"/>
        <v>2905529</v>
      </c>
      <c r="O17" t="str">
        <f t="shared" si="1"/>
        <v>千葉県</v>
      </c>
      <c r="P17" s="12">
        <f t="shared" si="5"/>
        <v>0.42829963149567601</v>
      </c>
      <c r="Q17" s="12">
        <f t="shared" si="6"/>
        <v>0.35967047652940309</v>
      </c>
      <c r="S17" t="s">
        <v>5</v>
      </c>
      <c r="T17" t="s">
        <v>6</v>
      </c>
      <c r="U17" t="s">
        <v>7</v>
      </c>
    </row>
    <row r="18" spans="1:22" x14ac:dyDescent="0.3">
      <c r="A18" t="s">
        <v>5</v>
      </c>
      <c r="B18" t="s">
        <v>6</v>
      </c>
      <c r="C18" t="s">
        <v>7</v>
      </c>
      <c r="J18" s="2" t="str">
        <f t="shared" si="2"/>
        <v>東京都</v>
      </c>
      <c r="K18" s="5">
        <f t="shared" si="7"/>
        <v>3216810</v>
      </c>
      <c r="L18" s="2">
        <f t="shared" si="3"/>
        <v>578127</v>
      </c>
      <c r="M18" s="2">
        <f t="shared" si="4"/>
        <v>5655675</v>
      </c>
      <c r="O18" t="str">
        <f t="shared" si="1"/>
        <v>東京都</v>
      </c>
      <c r="P18" s="12">
        <f t="shared" si="5"/>
        <v>0.5687756103382885</v>
      </c>
      <c r="Q18" s="12">
        <f t="shared" si="6"/>
        <v>0.10222068983808298</v>
      </c>
      <c r="S18" t="s">
        <v>8</v>
      </c>
      <c r="T18" t="s">
        <v>9</v>
      </c>
    </row>
    <row r="19" spans="1:22" x14ac:dyDescent="0.3">
      <c r="A19" t="s">
        <v>8</v>
      </c>
      <c r="B19" t="s">
        <v>9</v>
      </c>
      <c r="J19" s="2" t="str">
        <f t="shared" si="2"/>
        <v>神奈川県</v>
      </c>
      <c r="K19" s="5">
        <f t="shared" si="7"/>
        <v>2200094</v>
      </c>
      <c r="L19" s="2">
        <f t="shared" si="3"/>
        <v>892975</v>
      </c>
      <c r="M19" s="2">
        <f t="shared" si="4"/>
        <v>4316963</v>
      </c>
      <c r="O19" t="str">
        <f t="shared" si="1"/>
        <v>神奈川県</v>
      </c>
      <c r="P19" s="12">
        <f t="shared" si="5"/>
        <v>0.50963929966506549</v>
      </c>
      <c r="Q19" s="12">
        <f t="shared" si="6"/>
        <v>0.20685259521566435</v>
      </c>
      <c r="S19" t="s">
        <v>10</v>
      </c>
      <c r="T19">
        <v>380</v>
      </c>
      <c r="U19" t="s">
        <v>11</v>
      </c>
    </row>
    <row r="20" spans="1:22" x14ac:dyDescent="0.3">
      <c r="A20" t="s">
        <v>10</v>
      </c>
      <c r="B20">
        <v>380</v>
      </c>
      <c r="C20" t="s">
        <v>11</v>
      </c>
      <c r="J20" s="2" t="str">
        <f t="shared" si="2"/>
        <v>新潟県</v>
      </c>
      <c r="K20" s="5">
        <f t="shared" si="7"/>
        <v>68520</v>
      </c>
      <c r="L20" s="2">
        <f t="shared" si="3"/>
        <v>817186</v>
      </c>
      <c r="M20" s="2">
        <f t="shared" si="4"/>
        <v>1120137</v>
      </c>
      <c r="O20" t="str">
        <f t="shared" si="1"/>
        <v>新潟県</v>
      </c>
      <c r="P20" s="12">
        <f t="shared" si="5"/>
        <v>6.1171088893590693E-2</v>
      </c>
      <c r="Q20" s="12">
        <f t="shared" si="6"/>
        <v>0.72954111863102455</v>
      </c>
      <c r="S20" t="s">
        <v>12</v>
      </c>
      <c r="T20">
        <v>2000</v>
      </c>
      <c r="U20" t="s">
        <v>18</v>
      </c>
    </row>
    <row r="21" spans="1:22" x14ac:dyDescent="0.3">
      <c r="A21" t="s">
        <v>12</v>
      </c>
      <c r="B21">
        <v>2000</v>
      </c>
      <c r="C21" t="s">
        <v>18</v>
      </c>
      <c r="J21" s="2" t="str">
        <f t="shared" si="2"/>
        <v>富山県</v>
      </c>
      <c r="K21" s="5">
        <f t="shared" si="7"/>
        <v>33269</v>
      </c>
      <c r="L21" s="2">
        <f t="shared" si="3"/>
        <v>421135</v>
      </c>
      <c r="M21" s="2">
        <f t="shared" si="4"/>
        <v>537258</v>
      </c>
      <c r="O21" t="str">
        <f t="shared" si="1"/>
        <v>富山県</v>
      </c>
      <c r="P21" s="12">
        <f t="shared" si="5"/>
        <v>6.1923694016654943E-2</v>
      </c>
      <c r="Q21" s="12">
        <f t="shared" si="6"/>
        <v>0.78385989599038075</v>
      </c>
      <c r="S21" t="s">
        <v>14</v>
      </c>
      <c r="T21">
        <v>2010000000</v>
      </c>
      <c r="U21" t="s">
        <v>6</v>
      </c>
    </row>
    <row r="22" spans="1:22" x14ac:dyDescent="0.3">
      <c r="A22" t="s">
        <v>14</v>
      </c>
      <c r="B22">
        <v>2010000000</v>
      </c>
      <c r="C22" t="s">
        <v>6</v>
      </c>
      <c r="J22" s="2" t="str">
        <f t="shared" si="2"/>
        <v>石川県</v>
      </c>
      <c r="K22" s="5">
        <f t="shared" si="7"/>
        <v>25311</v>
      </c>
      <c r="L22" s="2">
        <f t="shared" si="3"/>
        <v>405626</v>
      </c>
      <c r="M22" s="2">
        <f t="shared" si="4"/>
        <v>569120</v>
      </c>
      <c r="O22" t="str">
        <f t="shared" si="1"/>
        <v>石川県</v>
      </c>
      <c r="P22" s="12">
        <f t="shared" si="5"/>
        <v>4.4473924655608656E-2</v>
      </c>
      <c r="Q22" s="12">
        <f t="shared" si="6"/>
        <v>0.71272490863086868</v>
      </c>
    </row>
    <row r="23" spans="1:22" x14ac:dyDescent="0.3">
      <c r="J23" s="2" t="str">
        <f t="shared" si="2"/>
        <v>福井県</v>
      </c>
      <c r="K23" s="5">
        <f t="shared" si="7"/>
        <v>17131</v>
      </c>
      <c r="L23" s="2">
        <f t="shared" si="3"/>
        <v>301186</v>
      </c>
      <c r="M23" s="2">
        <f t="shared" si="4"/>
        <v>391554</v>
      </c>
      <c r="O23" t="str">
        <f t="shared" si="1"/>
        <v>福井県</v>
      </c>
      <c r="P23" s="12">
        <f t="shared" si="5"/>
        <v>4.3751308887152222E-2</v>
      </c>
      <c r="Q23" s="12">
        <f t="shared" si="6"/>
        <v>0.76920680161612442</v>
      </c>
      <c r="V23">
        <v>17</v>
      </c>
    </row>
    <row r="24" spans="1:22" x14ac:dyDescent="0.3">
      <c r="D24">
        <v>17</v>
      </c>
      <c r="J24" s="2" t="str">
        <f t="shared" si="2"/>
        <v>山梨県</v>
      </c>
      <c r="K24" s="5">
        <f t="shared" si="7"/>
        <v>27774</v>
      </c>
      <c r="L24" s="2">
        <f t="shared" si="3"/>
        <v>279837</v>
      </c>
      <c r="M24" s="2">
        <f t="shared" si="4"/>
        <v>392896</v>
      </c>
      <c r="O24" t="str">
        <f t="shared" si="1"/>
        <v>山梨県</v>
      </c>
      <c r="P24" s="12">
        <f t="shared" si="5"/>
        <v>7.0690462616061253E-2</v>
      </c>
      <c r="Q24" s="12">
        <f t="shared" si="6"/>
        <v>0.71224191643590162</v>
      </c>
      <c r="V24" t="s">
        <v>15</v>
      </c>
    </row>
    <row r="25" spans="1:22" x14ac:dyDescent="0.3">
      <c r="D25" t="s">
        <v>15</v>
      </c>
      <c r="J25" s="2" t="str">
        <f t="shared" si="2"/>
        <v>長野県</v>
      </c>
      <c r="K25" s="5">
        <f t="shared" si="7"/>
        <v>69689</v>
      </c>
      <c r="L25" s="2">
        <f t="shared" si="3"/>
        <v>740006</v>
      </c>
      <c r="M25" s="2">
        <f t="shared" si="4"/>
        <v>1003282</v>
      </c>
      <c r="O25" t="str">
        <f t="shared" si="1"/>
        <v>長野県</v>
      </c>
      <c r="P25" s="12">
        <f t="shared" si="5"/>
        <v>6.946102890313989E-2</v>
      </c>
      <c r="Q25" s="12">
        <f t="shared" si="6"/>
        <v>0.73758524522517099</v>
      </c>
      <c r="S25">
        <v>0</v>
      </c>
      <c r="U25" t="s">
        <v>67</v>
      </c>
      <c r="V25" s="1">
        <v>589906</v>
      </c>
    </row>
    <row r="26" spans="1:22" x14ac:dyDescent="0.3">
      <c r="A26">
        <v>3</v>
      </c>
      <c r="C26" t="s">
        <v>16</v>
      </c>
      <c r="D26" s="1">
        <v>17980</v>
      </c>
      <c r="J26" s="2" t="str">
        <f t="shared" si="2"/>
        <v>岐阜県</v>
      </c>
      <c r="K26" s="5">
        <f t="shared" si="7"/>
        <v>102016</v>
      </c>
      <c r="L26" s="2">
        <f t="shared" si="3"/>
        <v>705792</v>
      </c>
      <c r="M26" s="2">
        <f t="shared" si="4"/>
        <v>988265</v>
      </c>
      <c r="O26" t="str">
        <f t="shared" si="1"/>
        <v>岐阜県</v>
      </c>
      <c r="P26" s="12">
        <f t="shared" si="5"/>
        <v>0.10322737322479295</v>
      </c>
      <c r="Q26" s="12">
        <f t="shared" si="6"/>
        <v>0.71417281801945831</v>
      </c>
    </row>
    <row r="27" spans="1:22" x14ac:dyDescent="0.3">
      <c r="A27">
        <v>6</v>
      </c>
      <c r="C27" t="s">
        <v>17</v>
      </c>
      <c r="D27" s="1">
        <v>414952</v>
      </c>
      <c r="J27" s="2" t="str">
        <f t="shared" si="2"/>
        <v>静岡県</v>
      </c>
      <c r="K27" s="5">
        <f t="shared" si="7"/>
        <v>151217</v>
      </c>
      <c r="L27" s="2">
        <f t="shared" si="3"/>
        <v>1179771</v>
      </c>
      <c r="M27" s="2">
        <f t="shared" si="4"/>
        <v>1813657</v>
      </c>
      <c r="O27" t="str">
        <f t="shared" si="1"/>
        <v>静岡県</v>
      </c>
      <c r="P27" s="12">
        <f t="shared" si="5"/>
        <v>8.3376845787268491E-2</v>
      </c>
      <c r="Q27" s="12">
        <f t="shared" si="6"/>
        <v>0.6504928991534783</v>
      </c>
      <c r="S27" t="s">
        <v>0</v>
      </c>
      <c r="T27" t="s">
        <v>1</v>
      </c>
    </row>
    <row r="28" spans="1:22" x14ac:dyDescent="0.3">
      <c r="J28" s="2" t="str">
        <f t="shared" si="2"/>
        <v>愛知県</v>
      </c>
      <c r="K28" s="5">
        <f t="shared" si="7"/>
        <v>764793</v>
      </c>
      <c r="L28" s="2">
        <f t="shared" si="3"/>
        <v>1926794</v>
      </c>
      <c r="M28" s="2">
        <f t="shared" si="4"/>
        <v>3600416</v>
      </c>
      <c r="O28" t="str">
        <f t="shared" si="1"/>
        <v>愛知県</v>
      </c>
      <c r="P28" s="12">
        <f t="shared" si="5"/>
        <v>0.21241795392532417</v>
      </c>
      <c r="Q28" s="12">
        <f t="shared" si="6"/>
        <v>0.5351587149929341</v>
      </c>
      <c r="S28" t="s">
        <v>2</v>
      </c>
      <c r="T28">
        <v>1200</v>
      </c>
    </row>
    <row r="29" spans="1:22" x14ac:dyDescent="0.3">
      <c r="A29" t="s">
        <v>0</v>
      </c>
      <c r="B29" t="s">
        <v>1</v>
      </c>
      <c r="J29" s="2" t="str">
        <f t="shared" si="2"/>
        <v>三重県</v>
      </c>
      <c r="K29" s="5">
        <f t="shared" si="7"/>
        <v>104658</v>
      </c>
      <c r="L29" s="2">
        <f t="shared" si="3"/>
        <v>608360</v>
      </c>
      <c r="M29" s="2">
        <f t="shared" si="4"/>
        <v>877636</v>
      </c>
      <c r="O29" t="str">
        <f t="shared" si="1"/>
        <v>三重県</v>
      </c>
      <c r="P29" s="12">
        <f t="shared" si="5"/>
        <v>0.11924989403351731</v>
      </c>
      <c r="Q29" s="12">
        <f t="shared" si="6"/>
        <v>0.69318031621309972</v>
      </c>
      <c r="S29" t="s">
        <v>3</v>
      </c>
      <c r="T29" t="s">
        <v>4</v>
      </c>
    </row>
    <row r="30" spans="1:22" x14ac:dyDescent="0.3">
      <c r="A30" t="s">
        <v>2</v>
      </c>
      <c r="B30">
        <v>1200</v>
      </c>
      <c r="J30" s="2" t="str">
        <f t="shared" si="2"/>
        <v>滋賀県</v>
      </c>
      <c r="K30" s="5">
        <f t="shared" si="7"/>
        <v>145072</v>
      </c>
      <c r="L30" s="2">
        <f t="shared" si="3"/>
        <v>399816</v>
      </c>
      <c r="M30" s="2">
        <f t="shared" si="4"/>
        <v>682772</v>
      </c>
      <c r="O30" t="str">
        <f t="shared" si="1"/>
        <v>滋賀県</v>
      </c>
      <c r="P30" s="12">
        <f t="shared" si="5"/>
        <v>0.21247502826712283</v>
      </c>
      <c r="Q30" s="12">
        <f t="shared" si="6"/>
        <v>0.58557761595378843</v>
      </c>
      <c r="S30" t="s">
        <v>5</v>
      </c>
      <c r="T30" t="s">
        <v>6</v>
      </c>
      <c r="U30" t="s">
        <v>7</v>
      </c>
    </row>
    <row r="31" spans="1:22" x14ac:dyDescent="0.3">
      <c r="A31" t="s">
        <v>3</v>
      </c>
      <c r="B31" t="s">
        <v>4</v>
      </c>
      <c r="J31" s="2" t="str">
        <f t="shared" si="2"/>
        <v>京都府</v>
      </c>
      <c r="K31" s="5">
        <f t="shared" si="7"/>
        <v>328133</v>
      </c>
      <c r="L31" s="2">
        <f t="shared" si="3"/>
        <v>366421</v>
      </c>
      <c r="M31" s="2">
        <f t="shared" si="4"/>
        <v>1198449</v>
      </c>
      <c r="O31" t="str">
        <f t="shared" si="1"/>
        <v>京都府</v>
      </c>
      <c r="P31" s="12">
        <f t="shared" si="5"/>
        <v>0.27379805064712809</v>
      </c>
      <c r="Q31" s="12">
        <f t="shared" si="6"/>
        <v>0.30574601005132468</v>
      </c>
      <c r="S31" t="s">
        <v>8</v>
      </c>
      <c r="T31" t="s">
        <v>9</v>
      </c>
    </row>
    <row r="32" spans="1:22" x14ac:dyDescent="0.3">
      <c r="A32" t="s">
        <v>5</v>
      </c>
      <c r="B32" t="s">
        <v>6</v>
      </c>
      <c r="C32" t="s">
        <v>7</v>
      </c>
      <c r="J32" s="2" t="str">
        <f t="shared" si="2"/>
        <v>大阪府</v>
      </c>
      <c r="K32" s="5">
        <f t="shared" si="7"/>
        <v>1568566</v>
      </c>
      <c r="L32" s="2">
        <f t="shared" si="3"/>
        <v>779645</v>
      </c>
      <c r="M32" s="2">
        <f t="shared" si="4"/>
        <v>3887509</v>
      </c>
      <c r="O32" t="str">
        <f t="shared" si="1"/>
        <v>大阪府</v>
      </c>
      <c r="P32" s="12">
        <f t="shared" si="5"/>
        <v>0.40348871218047339</v>
      </c>
      <c r="Q32" s="12">
        <f t="shared" si="6"/>
        <v>0.20055130418990669</v>
      </c>
      <c r="S32" t="s">
        <v>10</v>
      </c>
      <c r="T32">
        <v>380</v>
      </c>
      <c r="U32" t="s">
        <v>11</v>
      </c>
    </row>
    <row r="33" spans="1:22" x14ac:dyDescent="0.3">
      <c r="A33" t="s">
        <v>8</v>
      </c>
      <c r="B33" t="s">
        <v>9</v>
      </c>
      <c r="J33" s="2" t="str">
        <f t="shared" si="2"/>
        <v>兵庫県</v>
      </c>
      <c r="K33" s="5">
        <f t="shared" si="7"/>
        <v>869666</v>
      </c>
      <c r="L33" s="2">
        <f t="shared" si="3"/>
        <v>931777</v>
      </c>
      <c r="M33" s="2">
        <f t="shared" si="4"/>
        <v>2548723</v>
      </c>
      <c r="O33" t="str">
        <f t="shared" si="1"/>
        <v>兵庫県</v>
      </c>
      <c r="P33" s="12">
        <f t="shared" si="5"/>
        <v>0.34121636599975752</v>
      </c>
      <c r="Q33" s="12">
        <f t="shared" si="6"/>
        <v>0.36558582474439161</v>
      </c>
      <c r="S33" t="s">
        <v>12</v>
      </c>
      <c r="T33">
        <v>3000</v>
      </c>
      <c r="U33" t="s">
        <v>19</v>
      </c>
    </row>
    <row r="34" spans="1:22" x14ac:dyDescent="0.3">
      <c r="A34" t="s">
        <v>10</v>
      </c>
      <c r="B34">
        <v>380</v>
      </c>
      <c r="C34" t="s">
        <v>11</v>
      </c>
      <c r="J34" s="2" t="str">
        <f t="shared" si="2"/>
        <v>奈良県</v>
      </c>
      <c r="K34" s="5">
        <f t="shared" si="7"/>
        <v>239396</v>
      </c>
      <c r="L34" s="2">
        <f t="shared" si="3"/>
        <v>252393</v>
      </c>
      <c r="M34" s="2">
        <f t="shared" si="4"/>
        <v>616620</v>
      </c>
      <c r="O34" t="str">
        <f t="shared" si="1"/>
        <v>奈良県</v>
      </c>
      <c r="P34" s="12">
        <f t="shared" si="5"/>
        <v>0.38823910998670169</v>
      </c>
      <c r="Q34" s="12">
        <f t="shared" si="6"/>
        <v>0.40931692128052932</v>
      </c>
      <c r="S34" t="s">
        <v>14</v>
      </c>
      <c r="T34">
        <v>2010000000</v>
      </c>
      <c r="U34" t="s">
        <v>6</v>
      </c>
    </row>
    <row r="35" spans="1:22" x14ac:dyDescent="0.3">
      <c r="A35" t="s">
        <v>12</v>
      </c>
      <c r="B35">
        <v>3000</v>
      </c>
      <c r="C35" t="s">
        <v>19</v>
      </c>
      <c r="J35" s="2" t="str">
        <f t="shared" si="2"/>
        <v>和歌山県</v>
      </c>
      <c r="K35" s="5">
        <f t="shared" si="7"/>
        <v>45564</v>
      </c>
      <c r="L35" s="2">
        <f t="shared" si="3"/>
        <v>253884</v>
      </c>
      <c r="M35" s="2">
        <f t="shared" si="4"/>
        <v>417165</v>
      </c>
      <c r="O35" t="str">
        <f t="shared" si="1"/>
        <v>和歌山県</v>
      </c>
      <c r="P35" s="12">
        <f t="shared" si="5"/>
        <v>0.10922296932868289</v>
      </c>
      <c r="Q35" s="12">
        <f t="shared" si="6"/>
        <v>0.60859372190859728</v>
      </c>
    </row>
    <row r="36" spans="1:22" x14ac:dyDescent="0.3">
      <c r="A36" t="s">
        <v>14</v>
      </c>
      <c r="B36">
        <v>2010000000</v>
      </c>
      <c r="C36" t="s">
        <v>6</v>
      </c>
      <c r="J36" s="2" t="str">
        <f t="shared" si="2"/>
        <v>鳥取県</v>
      </c>
      <c r="K36" s="5">
        <f t="shared" si="7"/>
        <v>11361</v>
      </c>
      <c r="L36" s="2">
        <f t="shared" si="3"/>
        <v>199047</v>
      </c>
      <c r="M36" s="2">
        <f t="shared" si="4"/>
        <v>269809</v>
      </c>
      <c r="O36" t="str">
        <f t="shared" si="1"/>
        <v>鳥取県</v>
      </c>
      <c r="P36" s="12">
        <f t="shared" si="5"/>
        <v>4.2107564981153332E-2</v>
      </c>
      <c r="Q36" s="12">
        <f t="shared" si="6"/>
        <v>0.73773298889214223</v>
      </c>
      <c r="V36">
        <v>17</v>
      </c>
    </row>
    <row r="37" spans="1:22" x14ac:dyDescent="0.3">
      <c r="J37" s="2" t="str">
        <f t="shared" si="2"/>
        <v>島根県</v>
      </c>
      <c r="K37" s="5">
        <f t="shared" si="7"/>
        <v>8430</v>
      </c>
      <c r="L37" s="2">
        <f t="shared" si="3"/>
        <v>246999</v>
      </c>
      <c r="M37" s="2">
        <f t="shared" si="4"/>
        <v>332257</v>
      </c>
      <c r="O37" t="str">
        <f t="shared" si="1"/>
        <v>島根県</v>
      </c>
      <c r="P37" s="12">
        <f t="shared" si="5"/>
        <v>2.5371925948888964E-2</v>
      </c>
      <c r="Q37" s="12">
        <f t="shared" si="6"/>
        <v>0.74339743030244665</v>
      </c>
      <c r="V37" t="s">
        <v>15</v>
      </c>
    </row>
    <row r="38" spans="1:22" x14ac:dyDescent="0.3">
      <c r="D38">
        <v>17</v>
      </c>
      <c r="J38" s="2" t="str">
        <f t="shared" si="2"/>
        <v>岡山県</v>
      </c>
      <c r="K38" s="5">
        <f t="shared" si="7"/>
        <v>65095</v>
      </c>
      <c r="L38" s="2">
        <f t="shared" si="3"/>
        <v>590326</v>
      </c>
      <c r="M38" s="2">
        <f t="shared" si="4"/>
        <v>890695</v>
      </c>
      <c r="O38" t="str">
        <f t="shared" si="1"/>
        <v>岡山県</v>
      </c>
      <c r="P38" s="12">
        <f t="shared" si="5"/>
        <v>7.3083378709883851E-2</v>
      </c>
      <c r="Q38" s="12">
        <f t="shared" si="6"/>
        <v>0.66277008403550042</v>
      </c>
      <c r="S38">
        <v>0</v>
      </c>
      <c r="U38" t="s">
        <v>67</v>
      </c>
      <c r="V38" s="1">
        <v>592171</v>
      </c>
    </row>
    <row r="39" spans="1:22" x14ac:dyDescent="0.3">
      <c r="D39" t="s">
        <v>15</v>
      </c>
      <c r="J39" s="2" t="str">
        <f t="shared" si="2"/>
        <v>広島県</v>
      </c>
      <c r="K39" s="5">
        <f t="shared" si="7"/>
        <v>173637</v>
      </c>
      <c r="L39" s="2">
        <f t="shared" si="3"/>
        <v>663678</v>
      </c>
      <c r="M39" s="2">
        <f t="shared" si="4"/>
        <v>1349323</v>
      </c>
      <c r="O39" t="str">
        <f t="shared" si="1"/>
        <v>広島県</v>
      </c>
      <c r="P39" s="12">
        <f t="shared" si="5"/>
        <v>0.12868453291020757</v>
      </c>
      <c r="Q39" s="12">
        <f t="shared" si="6"/>
        <v>0.49185999201080838</v>
      </c>
    </row>
    <row r="40" spans="1:22" x14ac:dyDescent="0.3">
      <c r="A40">
        <v>3</v>
      </c>
      <c r="C40" t="s">
        <v>16</v>
      </c>
      <c r="D40" s="1">
        <v>30065</v>
      </c>
      <c r="J40" s="2" t="str">
        <f t="shared" si="2"/>
        <v>山口県</v>
      </c>
      <c r="K40" s="5">
        <f t="shared" si="7"/>
        <v>38093</v>
      </c>
      <c r="L40" s="2">
        <f t="shared" si="3"/>
        <v>452380</v>
      </c>
      <c r="M40" s="2">
        <f t="shared" si="4"/>
        <v>655903</v>
      </c>
      <c r="O40" t="str">
        <f t="shared" si="1"/>
        <v>山口県</v>
      </c>
      <c r="P40" s="12">
        <f t="shared" si="5"/>
        <v>5.8077185193542338E-2</v>
      </c>
      <c r="Q40" s="12">
        <f t="shared" si="6"/>
        <v>0.6897056424501794</v>
      </c>
      <c r="S40" t="s">
        <v>0</v>
      </c>
      <c r="T40" t="s">
        <v>1</v>
      </c>
    </row>
    <row r="41" spans="1:22" x14ac:dyDescent="0.3">
      <c r="A41">
        <v>6</v>
      </c>
      <c r="C41" t="s">
        <v>17</v>
      </c>
      <c r="D41" s="1">
        <v>426622</v>
      </c>
      <c r="J41" s="2" t="str">
        <f t="shared" si="2"/>
        <v>徳島県</v>
      </c>
      <c r="K41" s="5">
        <f t="shared" si="7"/>
        <v>11393</v>
      </c>
      <c r="L41" s="2">
        <f t="shared" si="3"/>
        <v>226194</v>
      </c>
      <c r="M41" s="2">
        <f t="shared" si="4"/>
        <v>326543</v>
      </c>
      <c r="O41" t="str">
        <f t="shared" si="1"/>
        <v>徳島県</v>
      </c>
      <c r="P41" s="12">
        <f t="shared" si="5"/>
        <v>3.4889738870531602E-2</v>
      </c>
      <c r="Q41" s="12">
        <f t="shared" si="6"/>
        <v>0.69269284596515623</v>
      </c>
      <c r="S41" t="s">
        <v>2</v>
      </c>
      <c r="T41">
        <v>1200</v>
      </c>
    </row>
    <row r="42" spans="1:22" x14ac:dyDescent="0.3">
      <c r="J42" s="2" t="str">
        <f t="shared" si="2"/>
        <v>香川県</v>
      </c>
      <c r="K42" s="5">
        <f t="shared" si="7"/>
        <v>31352</v>
      </c>
      <c r="L42" s="2">
        <f t="shared" si="3"/>
        <v>297473</v>
      </c>
      <c r="M42" s="2">
        <f t="shared" si="4"/>
        <v>446025</v>
      </c>
      <c r="O42" t="str">
        <f t="shared" si="1"/>
        <v>香川県</v>
      </c>
      <c r="P42" s="12">
        <f t="shared" si="5"/>
        <v>7.0292023989686675E-2</v>
      </c>
      <c r="Q42" s="12">
        <f t="shared" si="6"/>
        <v>0.66694243596210978</v>
      </c>
      <c r="S42" t="s">
        <v>3</v>
      </c>
      <c r="T42" t="s">
        <v>4</v>
      </c>
    </row>
    <row r="43" spans="1:22" x14ac:dyDescent="0.3">
      <c r="A43" t="s">
        <v>0</v>
      </c>
      <c r="B43" t="s">
        <v>1</v>
      </c>
      <c r="J43" s="2" t="str">
        <f t="shared" si="2"/>
        <v>愛媛県</v>
      </c>
      <c r="K43" s="5">
        <f t="shared" si="7"/>
        <v>24780</v>
      </c>
      <c r="L43" s="2">
        <f t="shared" si="3"/>
        <v>354795</v>
      </c>
      <c r="M43" s="2">
        <f t="shared" si="4"/>
        <v>610330</v>
      </c>
      <c r="O43" t="str">
        <f t="shared" si="1"/>
        <v>愛媛県</v>
      </c>
      <c r="P43" s="12">
        <f t="shared" si="5"/>
        <v>4.0600986351645829E-2</v>
      </c>
      <c r="Q43" s="12">
        <f t="shared" si="6"/>
        <v>0.58131666475513244</v>
      </c>
      <c r="S43" t="s">
        <v>5</v>
      </c>
      <c r="T43" t="s">
        <v>6</v>
      </c>
      <c r="U43" t="s">
        <v>7</v>
      </c>
    </row>
    <row r="44" spans="1:22" x14ac:dyDescent="0.3">
      <c r="A44" t="s">
        <v>2</v>
      </c>
      <c r="B44">
        <v>1200</v>
      </c>
      <c r="J44" s="2" t="str">
        <f t="shared" si="2"/>
        <v>高知県</v>
      </c>
      <c r="K44" s="5">
        <f t="shared" si="7"/>
        <v>11670</v>
      </c>
      <c r="L44" s="2">
        <f t="shared" si="3"/>
        <v>191601</v>
      </c>
      <c r="M44" s="2">
        <f t="shared" si="4"/>
        <v>309892</v>
      </c>
      <c r="O44" t="str">
        <f t="shared" si="1"/>
        <v>高知県</v>
      </c>
      <c r="P44" s="12">
        <f t="shared" si="5"/>
        <v>3.7658280949492084E-2</v>
      </c>
      <c r="Q44" s="12">
        <f t="shared" si="6"/>
        <v>0.61828314380493854</v>
      </c>
      <c r="S44" t="s">
        <v>8</v>
      </c>
      <c r="T44" t="s">
        <v>9</v>
      </c>
    </row>
    <row r="45" spans="1:22" x14ac:dyDescent="0.3">
      <c r="A45" t="s">
        <v>3</v>
      </c>
      <c r="B45" t="s">
        <v>4</v>
      </c>
      <c r="J45" s="2" t="str">
        <f t="shared" si="2"/>
        <v>福岡県</v>
      </c>
      <c r="K45" s="5">
        <f t="shared" si="7"/>
        <v>397798</v>
      </c>
      <c r="L45" s="2">
        <f t="shared" si="3"/>
        <v>1148299</v>
      </c>
      <c r="M45" s="2">
        <f t="shared" si="4"/>
        <v>2295579</v>
      </c>
      <c r="O45" t="str">
        <f t="shared" si="1"/>
        <v>福岡県</v>
      </c>
      <c r="P45" s="12">
        <f t="shared" si="5"/>
        <v>0.1732887432756616</v>
      </c>
      <c r="Q45" s="12">
        <f t="shared" si="6"/>
        <v>0.50022194836248279</v>
      </c>
      <c r="S45" t="s">
        <v>10</v>
      </c>
      <c r="T45">
        <v>380</v>
      </c>
      <c r="U45" t="s">
        <v>11</v>
      </c>
    </row>
    <row r="46" spans="1:22" x14ac:dyDescent="0.3">
      <c r="A46" t="s">
        <v>5</v>
      </c>
      <c r="B46" t="s">
        <v>6</v>
      </c>
      <c r="C46" t="s">
        <v>7</v>
      </c>
      <c r="J46" s="2" t="str">
        <f t="shared" si="2"/>
        <v>佐賀県</v>
      </c>
      <c r="K46" s="5">
        <f t="shared" si="7"/>
        <v>23486</v>
      </c>
      <c r="L46" s="2">
        <f t="shared" si="3"/>
        <v>279014</v>
      </c>
      <c r="M46" s="2">
        <f t="shared" si="4"/>
        <v>383559</v>
      </c>
      <c r="O46" t="str">
        <f t="shared" si="1"/>
        <v>佐賀県</v>
      </c>
      <c r="P46" s="12">
        <f t="shared" si="5"/>
        <v>6.1231779204763803E-2</v>
      </c>
      <c r="Q46" s="12">
        <f t="shared" si="6"/>
        <v>0.72743437124405896</v>
      </c>
      <c r="S46" t="s">
        <v>12</v>
      </c>
      <c r="T46">
        <v>4000</v>
      </c>
      <c r="U46" t="s">
        <v>20</v>
      </c>
    </row>
    <row r="47" spans="1:22" x14ac:dyDescent="0.3">
      <c r="A47" t="s">
        <v>8</v>
      </c>
      <c r="B47" t="s">
        <v>9</v>
      </c>
      <c r="J47" s="2" t="str">
        <f t="shared" si="2"/>
        <v>長崎県</v>
      </c>
      <c r="K47" s="5">
        <f t="shared" si="7"/>
        <v>33070</v>
      </c>
      <c r="L47" s="2">
        <f t="shared" si="3"/>
        <v>358588</v>
      </c>
      <c r="M47" s="2">
        <f t="shared" si="4"/>
        <v>624847</v>
      </c>
      <c r="O47" t="str">
        <f t="shared" si="1"/>
        <v>長崎県</v>
      </c>
      <c r="P47" s="12">
        <f t="shared" si="5"/>
        <v>5.2924956029235956E-2</v>
      </c>
      <c r="Q47" s="12">
        <f t="shared" si="6"/>
        <v>0.57388128613884681</v>
      </c>
      <c r="S47" t="s">
        <v>14</v>
      </c>
      <c r="T47">
        <v>2010000000</v>
      </c>
      <c r="U47" t="s">
        <v>6</v>
      </c>
    </row>
    <row r="48" spans="1:22" x14ac:dyDescent="0.3">
      <c r="A48" t="s">
        <v>10</v>
      </c>
      <c r="B48">
        <v>380</v>
      </c>
      <c r="C48" t="s">
        <v>11</v>
      </c>
      <c r="J48" s="2" t="str">
        <f t="shared" si="2"/>
        <v>熊本県</v>
      </c>
      <c r="K48" s="5">
        <f t="shared" si="7"/>
        <v>30840</v>
      </c>
      <c r="L48" s="2">
        <f t="shared" si="3"/>
        <v>521559</v>
      </c>
      <c r="M48" s="2">
        <f t="shared" si="4"/>
        <v>789679</v>
      </c>
      <c r="O48" t="str">
        <f t="shared" si="1"/>
        <v>熊本県</v>
      </c>
      <c r="P48" s="12">
        <f t="shared" si="5"/>
        <v>3.905384339712719E-2</v>
      </c>
      <c r="Q48" s="12">
        <f t="shared" si="6"/>
        <v>0.66046963386388646</v>
      </c>
    </row>
    <row r="49" spans="1:22" x14ac:dyDescent="0.3">
      <c r="A49" t="s">
        <v>12</v>
      </c>
      <c r="B49">
        <v>4000</v>
      </c>
      <c r="C49" t="s">
        <v>20</v>
      </c>
      <c r="J49" s="2" t="str">
        <f t="shared" si="2"/>
        <v>大分県</v>
      </c>
      <c r="K49" s="5">
        <f t="shared" si="7"/>
        <v>21949</v>
      </c>
      <c r="L49" s="2">
        <f t="shared" si="3"/>
        <v>363796</v>
      </c>
      <c r="M49" s="2">
        <f t="shared" si="4"/>
        <v>530665</v>
      </c>
      <c r="O49" t="str">
        <f t="shared" si="1"/>
        <v>大分県</v>
      </c>
      <c r="P49" s="12">
        <f t="shared" si="5"/>
        <v>4.1361310808136958E-2</v>
      </c>
      <c r="Q49" s="12">
        <f t="shared" si="6"/>
        <v>0.68554737923171871</v>
      </c>
      <c r="V49">
        <v>17</v>
      </c>
    </row>
    <row r="50" spans="1:22" x14ac:dyDescent="0.3">
      <c r="A50" t="s">
        <v>14</v>
      </c>
      <c r="B50">
        <v>2010000000</v>
      </c>
      <c r="C50" t="s">
        <v>6</v>
      </c>
      <c r="J50" s="2" t="str">
        <f t="shared" si="2"/>
        <v>宮崎県</v>
      </c>
      <c r="K50" s="5">
        <f t="shared" si="7"/>
        <v>9434</v>
      </c>
      <c r="L50" s="2">
        <f t="shared" si="3"/>
        <v>359031</v>
      </c>
      <c r="M50" s="2">
        <f t="shared" si="4"/>
        <v>491247</v>
      </c>
      <c r="O50" t="str">
        <f t="shared" si="1"/>
        <v>宮崎県</v>
      </c>
      <c r="P50" s="12">
        <f t="shared" si="5"/>
        <v>1.9204188524306508E-2</v>
      </c>
      <c r="Q50" s="12">
        <f t="shared" si="6"/>
        <v>0.73085637164196426</v>
      </c>
      <c r="V50" t="s">
        <v>15</v>
      </c>
    </row>
    <row r="51" spans="1:22" x14ac:dyDescent="0.3">
      <c r="J51" s="2" t="str">
        <f t="shared" si="2"/>
        <v>鹿児島県</v>
      </c>
      <c r="K51" s="5">
        <f t="shared" si="7"/>
        <v>32456</v>
      </c>
      <c r="L51" s="2">
        <f t="shared" si="3"/>
        <v>480366</v>
      </c>
      <c r="M51" s="2">
        <f t="shared" si="4"/>
        <v>732130</v>
      </c>
      <c r="O51" t="str">
        <f t="shared" si="1"/>
        <v>鹿児島県</v>
      </c>
      <c r="P51" s="12">
        <f t="shared" si="5"/>
        <v>4.433092483575321E-2</v>
      </c>
      <c r="Q51" s="12">
        <f t="shared" si="6"/>
        <v>0.65612118066463609</v>
      </c>
      <c r="S51">
        <v>0</v>
      </c>
      <c r="U51" t="s">
        <v>67</v>
      </c>
      <c r="V51" s="1">
        <v>1072791</v>
      </c>
    </row>
    <row r="52" spans="1:22" ht="21" thickBot="1" x14ac:dyDescent="0.35">
      <c r="D52">
        <v>17</v>
      </c>
      <c r="J52" s="3" t="str">
        <f t="shared" si="2"/>
        <v>沖縄県</v>
      </c>
      <c r="K52" s="6">
        <f t="shared" si="7"/>
        <v>7761</v>
      </c>
      <c r="L52" s="3">
        <f t="shared" si="3"/>
        <v>379202</v>
      </c>
      <c r="M52" s="3">
        <f t="shared" si="4"/>
        <v>590058</v>
      </c>
      <c r="O52" t="str">
        <f t="shared" si="1"/>
        <v>沖縄県</v>
      </c>
      <c r="P52" s="12">
        <f t="shared" si="5"/>
        <v>1.3152944286832819E-2</v>
      </c>
      <c r="Q52" s="12">
        <f t="shared" si="6"/>
        <v>0.64265207827027171</v>
      </c>
    </row>
    <row r="53" spans="1:22" x14ac:dyDescent="0.3">
      <c r="D53" t="s">
        <v>15</v>
      </c>
      <c r="M53" s="5"/>
      <c r="S53" t="s">
        <v>0</v>
      </c>
      <c r="T53" t="s">
        <v>1</v>
      </c>
    </row>
    <row r="54" spans="1:22" x14ac:dyDescent="0.3">
      <c r="A54">
        <v>3</v>
      </c>
      <c r="C54" t="s">
        <v>16</v>
      </c>
      <c r="D54" s="1">
        <v>162291</v>
      </c>
      <c r="M54" s="5"/>
      <c r="S54" t="s">
        <v>2</v>
      </c>
      <c r="T54">
        <v>1200</v>
      </c>
    </row>
    <row r="55" spans="1:22" x14ac:dyDescent="0.3">
      <c r="A55">
        <v>6</v>
      </c>
      <c r="C55" t="s">
        <v>17</v>
      </c>
      <c r="D55" s="1">
        <v>632824</v>
      </c>
      <c r="M55" s="5"/>
      <c r="S55" t="s">
        <v>3</v>
      </c>
      <c r="T55" t="s">
        <v>4</v>
      </c>
    </row>
    <row r="56" spans="1:22" x14ac:dyDescent="0.3">
      <c r="M56" s="5"/>
      <c r="S56" t="s">
        <v>5</v>
      </c>
      <c r="T56" t="s">
        <v>6</v>
      </c>
      <c r="U56" t="s">
        <v>7</v>
      </c>
    </row>
    <row r="57" spans="1:22" x14ac:dyDescent="0.3">
      <c r="A57" t="s">
        <v>0</v>
      </c>
      <c r="B57" t="s">
        <v>1</v>
      </c>
      <c r="M57" s="5"/>
      <c r="S57" t="s">
        <v>8</v>
      </c>
      <c r="T57" t="s">
        <v>9</v>
      </c>
    </row>
    <row r="58" spans="1:22" x14ac:dyDescent="0.3">
      <c r="A58" t="s">
        <v>2</v>
      </c>
      <c r="B58">
        <v>1200</v>
      </c>
      <c r="M58" s="5"/>
      <c r="S58" t="s">
        <v>10</v>
      </c>
      <c r="T58">
        <v>380</v>
      </c>
      <c r="U58" t="s">
        <v>11</v>
      </c>
    </row>
    <row r="59" spans="1:22" x14ac:dyDescent="0.3">
      <c r="A59" t="s">
        <v>3</v>
      </c>
      <c r="B59" t="s">
        <v>4</v>
      </c>
      <c r="M59" s="5"/>
      <c r="S59" t="s">
        <v>12</v>
      </c>
      <c r="T59">
        <v>5000</v>
      </c>
      <c r="U59" t="s">
        <v>21</v>
      </c>
    </row>
    <row r="60" spans="1:22" x14ac:dyDescent="0.3">
      <c r="A60" t="s">
        <v>5</v>
      </c>
      <c r="B60" t="s">
        <v>6</v>
      </c>
      <c r="C60" t="s">
        <v>7</v>
      </c>
      <c r="M60" s="5"/>
      <c r="S60" t="s">
        <v>14</v>
      </c>
      <c r="T60">
        <v>2010000000</v>
      </c>
      <c r="U60" t="s">
        <v>6</v>
      </c>
    </row>
    <row r="61" spans="1:22" x14ac:dyDescent="0.3">
      <c r="A61" t="s">
        <v>8</v>
      </c>
      <c r="B61" t="s">
        <v>9</v>
      </c>
      <c r="M61" s="5"/>
    </row>
    <row r="62" spans="1:22" x14ac:dyDescent="0.3">
      <c r="A62" t="s">
        <v>10</v>
      </c>
      <c r="B62">
        <v>380</v>
      </c>
      <c r="C62" t="s">
        <v>11</v>
      </c>
      <c r="M62" s="5"/>
      <c r="V62">
        <v>17</v>
      </c>
    </row>
    <row r="63" spans="1:22" x14ac:dyDescent="0.3">
      <c r="A63" t="s">
        <v>12</v>
      </c>
      <c r="B63">
        <v>5000</v>
      </c>
      <c r="C63" t="s">
        <v>21</v>
      </c>
      <c r="M63" s="5"/>
      <c r="V63" t="s">
        <v>15</v>
      </c>
    </row>
    <row r="64" spans="1:22" x14ac:dyDescent="0.3">
      <c r="A64" t="s">
        <v>14</v>
      </c>
      <c r="B64">
        <v>2010000000</v>
      </c>
      <c r="C64" t="s">
        <v>6</v>
      </c>
      <c r="M64" s="5"/>
      <c r="S64">
        <v>0</v>
      </c>
      <c r="U64" t="s">
        <v>67</v>
      </c>
      <c r="V64" s="1">
        <v>468273</v>
      </c>
    </row>
    <row r="65" spans="1:22" x14ac:dyDescent="0.3">
      <c r="M65" s="5"/>
    </row>
    <row r="66" spans="1:22" x14ac:dyDescent="0.3">
      <c r="D66">
        <v>17</v>
      </c>
      <c r="M66" s="5"/>
      <c r="S66" t="s">
        <v>0</v>
      </c>
      <c r="T66" t="s">
        <v>1</v>
      </c>
    </row>
    <row r="67" spans="1:22" x14ac:dyDescent="0.3">
      <c r="D67" t="s">
        <v>15</v>
      </c>
      <c r="M67" s="5"/>
      <c r="S67" t="s">
        <v>2</v>
      </c>
      <c r="T67">
        <v>1200</v>
      </c>
    </row>
    <row r="68" spans="1:22" x14ac:dyDescent="0.3">
      <c r="A68">
        <v>3</v>
      </c>
      <c r="C68" t="s">
        <v>16</v>
      </c>
      <c r="D68" s="1">
        <v>19245</v>
      </c>
      <c r="M68" s="5"/>
      <c r="S68" t="s">
        <v>3</v>
      </c>
      <c r="T68" t="s">
        <v>4</v>
      </c>
    </row>
    <row r="69" spans="1:22" x14ac:dyDescent="0.3">
      <c r="A69">
        <v>6</v>
      </c>
      <c r="C69" t="s">
        <v>17</v>
      </c>
      <c r="D69" s="1">
        <v>359924</v>
      </c>
      <c r="M69" s="5"/>
      <c r="S69" t="s">
        <v>5</v>
      </c>
      <c r="T69" t="s">
        <v>6</v>
      </c>
      <c r="U69" t="s">
        <v>7</v>
      </c>
    </row>
    <row r="70" spans="1:22" x14ac:dyDescent="0.3">
      <c r="M70" s="5"/>
      <c r="S70" t="s">
        <v>8</v>
      </c>
      <c r="T70" t="s">
        <v>9</v>
      </c>
    </row>
    <row r="71" spans="1:22" x14ac:dyDescent="0.3">
      <c r="A71" t="s">
        <v>0</v>
      </c>
      <c r="B71" t="s">
        <v>1</v>
      </c>
      <c r="M71" s="5"/>
      <c r="S71" t="s">
        <v>10</v>
      </c>
      <c r="T71">
        <v>380</v>
      </c>
      <c r="U71" t="s">
        <v>11</v>
      </c>
    </row>
    <row r="72" spans="1:22" x14ac:dyDescent="0.3">
      <c r="A72" t="s">
        <v>2</v>
      </c>
      <c r="B72">
        <v>1200</v>
      </c>
      <c r="M72" s="5"/>
      <c r="S72" t="s">
        <v>12</v>
      </c>
      <c r="T72">
        <v>6000</v>
      </c>
      <c r="U72" t="s">
        <v>22</v>
      </c>
    </row>
    <row r="73" spans="1:22" x14ac:dyDescent="0.3">
      <c r="A73" t="s">
        <v>3</v>
      </c>
      <c r="B73" t="s">
        <v>4</v>
      </c>
      <c r="M73" s="5"/>
      <c r="S73" t="s">
        <v>14</v>
      </c>
      <c r="T73">
        <v>2010000000</v>
      </c>
      <c r="U73" t="s">
        <v>6</v>
      </c>
    </row>
    <row r="74" spans="1:22" x14ac:dyDescent="0.3">
      <c r="A74" t="s">
        <v>5</v>
      </c>
      <c r="B74" t="s">
        <v>6</v>
      </c>
      <c r="C74" t="s">
        <v>7</v>
      </c>
      <c r="M74" s="5"/>
    </row>
    <row r="75" spans="1:22" x14ac:dyDescent="0.3">
      <c r="A75" t="s">
        <v>8</v>
      </c>
      <c r="B75" t="s">
        <v>9</v>
      </c>
      <c r="M75" s="5"/>
      <c r="V75">
        <v>17</v>
      </c>
    </row>
    <row r="76" spans="1:22" x14ac:dyDescent="0.3">
      <c r="A76" t="s">
        <v>10</v>
      </c>
      <c r="B76">
        <v>380</v>
      </c>
      <c r="C76" t="s">
        <v>11</v>
      </c>
      <c r="M76" s="5"/>
      <c r="V76" t="s">
        <v>15</v>
      </c>
    </row>
    <row r="77" spans="1:22" x14ac:dyDescent="0.3">
      <c r="A77" t="s">
        <v>12</v>
      </c>
      <c r="B77">
        <v>6000</v>
      </c>
      <c r="C77" t="s">
        <v>22</v>
      </c>
      <c r="M77" s="5"/>
      <c r="S77">
        <v>0</v>
      </c>
      <c r="U77" t="s">
        <v>67</v>
      </c>
      <c r="V77" s="1">
        <v>523789</v>
      </c>
    </row>
    <row r="78" spans="1:22" x14ac:dyDescent="0.3">
      <c r="A78" t="s">
        <v>14</v>
      </c>
      <c r="B78">
        <v>2010000000</v>
      </c>
      <c r="C78" t="s">
        <v>6</v>
      </c>
      <c r="M78" s="5"/>
    </row>
    <row r="79" spans="1:22" x14ac:dyDescent="0.3">
      <c r="M79" s="5"/>
      <c r="S79" t="s">
        <v>0</v>
      </c>
      <c r="T79" t="s">
        <v>1</v>
      </c>
    </row>
    <row r="80" spans="1:22" x14ac:dyDescent="0.3">
      <c r="D80">
        <v>17</v>
      </c>
      <c r="M80" s="5"/>
      <c r="S80" t="s">
        <v>2</v>
      </c>
      <c r="T80">
        <v>1200</v>
      </c>
    </row>
    <row r="81" spans="1:22" x14ac:dyDescent="0.3">
      <c r="D81" t="s">
        <v>15</v>
      </c>
      <c r="M81" s="5"/>
      <c r="S81" t="s">
        <v>3</v>
      </c>
      <c r="T81" t="s">
        <v>4</v>
      </c>
    </row>
    <row r="82" spans="1:22" x14ac:dyDescent="0.3">
      <c r="A82">
        <v>3</v>
      </c>
      <c r="C82" t="s">
        <v>16</v>
      </c>
      <c r="D82" s="1">
        <v>19105</v>
      </c>
      <c r="M82" s="5"/>
      <c r="S82" t="s">
        <v>5</v>
      </c>
      <c r="T82" t="s">
        <v>6</v>
      </c>
      <c r="U82" t="s">
        <v>7</v>
      </c>
    </row>
    <row r="83" spans="1:22" x14ac:dyDescent="0.3">
      <c r="A83">
        <v>6</v>
      </c>
      <c r="C83" t="s">
        <v>17</v>
      </c>
      <c r="D83" s="1">
        <v>410563</v>
      </c>
      <c r="M83" s="5"/>
      <c r="S83" t="s">
        <v>8</v>
      </c>
      <c r="T83" t="s">
        <v>9</v>
      </c>
    </row>
    <row r="84" spans="1:22" x14ac:dyDescent="0.3">
      <c r="M84" s="5"/>
      <c r="S84" t="s">
        <v>10</v>
      </c>
      <c r="T84">
        <v>380</v>
      </c>
      <c r="U84" t="s">
        <v>11</v>
      </c>
    </row>
    <row r="85" spans="1:22" x14ac:dyDescent="0.3">
      <c r="A85" t="s">
        <v>0</v>
      </c>
      <c r="B85" t="s">
        <v>1</v>
      </c>
      <c r="M85" s="5"/>
      <c r="S85" t="s">
        <v>12</v>
      </c>
      <c r="T85">
        <v>7000</v>
      </c>
      <c r="U85" t="s">
        <v>23</v>
      </c>
    </row>
    <row r="86" spans="1:22" x14ac:dyDescent="0.3">
      <c r="A86" t="s">
        <v>2</v>
      </c>
      <c r="B86">
        <v>1200</v>
      </c>
      <c r="M86" s="5"/>
      <c r="S86" t="s">
        <v>14</v>
      </c>
      <c r="T86">
        <v>2010000000</v>
      </c>
      <c r="U86" t="s">
        <v>6</v>
      </c>
    </row>
    <row r="87" spans="1:22" x14ac:dyDescent="0.3">
      <c r="A87" t="s">
        <v>3</v>
      </c>
      <c r="B87" t="s">
        <v>4</v>
      </c>
      <c r="M87" s="5"/>
    </row>
    <row r="88" spans="1:22" x14ac:dyDescent="0.3">
      <c r="A88" t="s">
        <v>5</v>
      </c>
      <c r="B88" t="s">
        <v>6</v>
      </c>
      <c r="C88" t="s">
        <v>7</v>
      </c>
      <c r="M88" s="5"/>
      <c r="V88">
        <v>17</v>
      </c>
    </row>
    <row r="89" spans="1:22" x14ac:dyDescent="0.3">
      <c r="A89" t="s">
        <v>8</v>
      </c>
      <c r="B89" t="s">
        <v>9</v>
      </c>
      <c r="M89" s="5"/>
      <c r="V89" t="s">
        <v>15</v>
      </c>
    </row>
    <row r="90" spans="1:22" x14ac:dyDescent="0.3">
      <c r="A90" t="s">
        <v>10</v>
      </c>
      <c r="B90">
        <v>380</v>
      </c>
      <c r="C90" t="s">
        <v>11</v>
      </c>
      <c r="M90" s="5"/>
      <c r="S90">
        <v>0</v>
      </c>
      <c r="U90" t="s">
        <v>67</v>
      </c>
      <c r="V90" s="1">
        <v>891053</v>
      </c>
    </row>
    <row r="91" spans="1:22" x14ac:dyDescent="0.3">
      <c r="A91" t="s">
        <v>12</v>
      </c>
      <c r="B91">
        <v>7000</v>
      </c>
      <c r="C91" t="s">
        <v>23</v>
      </c>
      <c r="M91" s="5"/>
    </row>
    <row r="92" spans="1:22" x14ac:dyDescent="0.3">
      <c r="A92" t="s">
        <v>14</v>
      </c>
      <c r="B92">
        <v>2010000000</v>
      </c>
      <c r="C92" t="s">
        <v>6</v>
      </c>
      <c r="M92" s="5"/>
      <c r="S92" t="s">
        <v>0</v>
      </c>
      <c r="T92" t="s">
        <v>1</v>
      </c>
    </row>
    <row r="93" spans="1:22" x14ac:dyDescent="0.3">
      <c r="M93" s="5"/>
      <c r="S93" t="s">
        <v>2</v>
      </c>
      <c r="T93">
        <v>1200</v>
      </c>
    </row>
    <row r="94" spans="1:22" x14ac:dyDescent="0.3">
      <c r="D94">
        <v>17</v>
      </c>
      <c r="M94" s="5"/>
      <c r="S94" t="s">
        <v>3</v>
      </c>
      <c r="T94" t="s">
        <v>4</v>
      </c>
    </row>
    <row r="95" spans="1:22" x14ac:dyDescent="0.3">
      <c r="D95" t="s">
        <v>15</v>
      </c>
      <c r="M95" s="5"/>
      <c r="S95" t="s">
        <v>5</v>
      </c>
      <c r="T95" t="s">
        <v>6</v>
      </c>
      <c r="U95" t="s">
        <v>7</v>
      </c>
    </row>
    <row r="96" spans="1:22" x14ac:dyDescent="0.3">
      <c r="A96">
        <v>3</v>
      </c>
      <c r="C96" t="s">
        <v>16</v>
      </c>
      <c r="D96" s="1">
        <v>48467</v>
      </c>
      <c r="M96" s="5"/>
      <c r="S96" t="s">
        <v>8</v>
      </c>
      <c r="T96" t="s">
        <v>9</v>
      </c>
    </row>
    <row r="97" spans="1:22" x14ac:dyDescent="0.3">
      <c r="A97">
        <v>6</v>
      </c>
      <c r="C97" t="s">
        <v>17</v>
      </c>
      <c r="D97" s="1">
        <v>663722</v>
      </c>
      <c r="M97" s="5"/>
      <c r="S97" t="s">
        <v>10</v>
      </c>
      <c r="T97">
        <v>380</v>
      </c>
      <c r="U97" t="s">
        <v>11</v>
      </c>
    </row>
    <row r="98" spans="1:22" x14ac:dyDescent="0.3">
      <c r="M98" s="5"/>
      <c r="S98" t="s">
        <v>12</v>
      </c>
      <c r="T98">
        <v>8000</v>
      </c>
      <c r="U98" t="s">
        <v>24</v>
      </c>
    </row>
    <row r="99" spans="1:22" x14ac:dyDescent="0.3">
      <c r="A99" t="s">
        <v>0</v>
      </c>
      <c r="B99" t="s">
        <v>1</v>
      </c>
      <c r="M99" s="5"/>
      <c r="S99" t="s">
        <v>14</v>
      </c>
      <c r="T99">
        <v>2010000000</v>
      </c>
      <c r="U99" t="s">
        <v>6</v>
      </c>
    </row>
    <row r="100" spans="1:22" x14ac:dyDescent="0.3">
      <c r="A100" t="s">
        <v>2</v>
      </c>
      <c r="B100">
        <v>1200</v>
      </c>
      <c r="M100" s="5"/>
    </row>
    <row r="101" spans="1:22" x14ac:dyDescent="0.3">
      <c r="A101" t="s">
        <v>3</v>
      </c>
      <c r="B101" t="s">
        <v>4</v>
      </c>
      <c r="M101" s="5"/>
      <c r="V101">
        <v>17</v>
      </c>
    </row>
    <row r="102" spans="1:22" x14ac:dyDescent="0.3">
      <c r="A102" t="s">
        <v>5</v>
      </c>
      <c r="B102" t="s">
        <v>6</v>
      </c>
      <c r="C102" t="s">
        <v>7</v>
      </c>
      <c r="M102" s="5"/>
      <c r="V102" t="s">
        <v>15</v>
      </c>
    </row>
    <row r="103" spans="1:22" x14ac:dyDescent="0.3">
      <c r="A103" t="s">
        <v>8</v>
      </c>
      <c r="B103" t="s">
        <v>9</v>
      </c>
      <c r="M103" s="5"/>
      <c r="S103">
        <v>0</v>
      </c>
      <c r="U103" t="s">
        <v>67</v>
      </c>
      <c r="V103" s="1">
        <v>1355593</v>
      </c>
    </row>
    <row r="104" spans="1:22" x14ac:dyDescent="0.3">
      <c r="A104" t="s">
        <v>10</v>
      </c>
      <c r="B104">
        <v>380</v>
      </c>
      <c r="C104" t="s">
        <v>11</v>
      </c>
      <c r="M104" s="5"/>
    </row>
    <row r="105" spans="1:22" x14ac:dyDescent="0.3">
      <c r="A105" t="s">
        <v>12</v>
      </c>
      <c r="B105">
        <v>8000</v>
      </c>
      <c r="C105" t="s">
        <v>24</v>
      </c>
      <c r="M105" s="5"/>
      <c r="S105" t="s">
        <v>0</v>
      </c>
      <c r="T105" t="s">
        <v>1</v>
      </c>
    </row>
    <row r="106" spans="1:22" x14ac:dyDescent="0.3">
      <c r="A106" t="s">
        <v>14</v>
      </c>
      <c r="B106">
        <v>2010000000</v>
      </c>
      <c r="C106" t="s">
        <v>6</v>
      </c>
      <c r="M106" s="5"/>
      <c r="S106" t="s">
        <v>2</v>
      </c>
      <c r="T106">
        <v>1200</v>
      </c>
    </row>
    <row r="107" spans="1:22" x14ac:dyDescent="0.3">
      <c r="M107" s="5"/>
      <c r="S107" t="s">
        <v>3</v>
      </c>
      <c r="T107" t="s">
        <v>4</v>
      </c>
    </row>
    <row r="108" spans="1:22" x14ac:dyDescent="0.3">
      <c r="D108">
        <v>17</v>
      </c>
      <c r="M108" s="5"/>
      <c r="S108" t="s">
        <v>5</v>
      </c>
      <c r="T108" t="s">
        <v>6</v>
      </c>
      <c r="U108" t="s">
        <v>7</v>
      </c>
    </row>
    <row r="109" spans="1:22" x14ac:dyDescent="0.3">
      <c r="D109" t="s">
        <v>15</v>
      </c>
      <c r="M109" s="5"/>
      <c r="S109" t="s">
        <v>8</v>
      </c>
      <c r="T109" t="s">
        <v>9</v>
      </c>
    </row>
    <row r="110" spans="1:22" x14ac:dyDescent="0.3">
      <c r="A110">
        <v>3</v>
      </c>
      <c r="C110" t="s">
        <v>16</v>
      </c>
      <c r="D110" s="1">
        <v>172746</v>
      </c>
      <c r="M110" s="5"/>
      <c r="S110" t="s">
        <v>10</v>
      </c>
      <c r="T110">
        <v>380</v>
      </c>
      <c r="U110" t="s">
        <v>11</v>
      </c>
    </row>
    <row r="111" spans="1:22" x14ac:dyDescent="0.3">
      <c r="A111">
        <v>6</v>
      </c>
      <c r="C111" t="s">
        <v>17</v>
      </c>
      <c r="D111" s="1">
        <v>951028</v>
      </c>
      <c r="M111" s="5"/>
      <c r="S111" t="s">
        <v>12</v>
      </c>
      <c r="T111">
        <v>9000</v>
      </c>
      <c r="U111" t="s">
        <v>25</v>
      </c>
    </row>
    <row r="112" spans="1:22" x14ac:dyDescent="0.3">
      <c r="M112" s="5"/>
      <c r="S112" t="s">
        <v>14</v>
      </c>
      <c r="T112">
        <v>2010000000</v>
      </c>
      <c r="U112" t="s">
        <v>6</v>
      </c>
    </row>
    <row r="113" spans="1:22" x14ac:dyDescent="0.3">
      <c r="A113" t="s">
        <v>0</v>
      </c>
      <c r="B113" t="s">
        <v>1</v>
      </c>
      <c r="M113" s="5"/>
    </row>
    <row r="114" spans="1:22" x14ac:dyDescent="0.3">
      <c r="A114" t="s">
        <v>2</v>
      </c>
      <c r="B114">
        <v>1200</v>
      </c>
      <c r="M114" s="5"/>
      <c r="V114">
        <v>17</v>
      </c>
    </row>
    <row r="115" spans="1:22" x14ac:dyDescent="0.3">
      <c r="A115" t="s">
        <v>3</v>
      </c>
      <c r="B115" t="s">
        <v>4</v>
      </c>
      <c r="M115" s="5"/>
      <c r="V115" t="s">
        <v>15</v>
      </c>
    </row>
    <row r="116" spans="1:22" x14ac:dyDescent="0.3">
      <c r="A116" t="s">
        <v>5</v>
      </c>
      <c r="B116" t="s">
        <v>6</v>
      </c>
      <c r="C116" t="s">
        <v>7</v>
      </c>
      <c r="M116" s="5"/>
      <c r="S116">
        <v>0</v>
      </c>
      <c r="U116" t="s">
        <v>67</v>
      </c>
      <c r="V116" s="1">
        <v>929485</v>
      </c>
    </row>
    <row r="117" spans="1:22" x14ac:dyDescent="0.3">
      <c r="A117" t="s">
        <v>8</v>
      </c>
      <c r="B117" t="s">
        <v>9</v>
      </c>
      <c r="M117" s="5"/>
    </row>
    <row r="118" spans="1:22" x14ac:dyDescent="0.3">
      <c r="A118" t="s">
        <v>10</v>
      </c>
      <c r="B118">
        <v>380</v>
      </c>
      <c r="C118" t="s">
        <v>11</v>
      </c>
      <c r="M118" s="5"/>
      <c r="S118" t="s">
        <v>0</v>
      </c>
      <c r="T118" t="s">
        <v>1</v>
      </c>
    </row>
    <row r="119" spans="1:22" x14ac:dyDescent="0.3">
      <c r="A119" t="s">
        <v>12</v>
      </c>
      <c r="B119">
        <v>9000</v>
      </c>
      <c r="C119" t="s">
        <v>25</v>
      </c>
      <c r="M119" s="5"/>
      <c r="S119" t="s">
        <v>2</v>
      </c>
      <c r="T119">
        <v>1200</v>
      </c>
    </row>
    <row r="120" spans="1:22" x14ac:dyDescent="0.3">
      <c r="A120" t="s">
        <v>14</v>
      </c>
      <c r="B120">
        <v>2010000000</v>
      </c>
      <c r="C120" t="s">
        <v>6</v>
      </c>
      <c r="M120" s="5"/>
      <c r="S120" t="s">
        <v>3</v>
      </c>
      <c r="T120" t="s">
        <v>4</v>
      </c>
    </row>
    <row r="121" spans="1:22" x14ac:dyDescent="0.3">
      <c r="M121" s="5"/>
      <c r="S121" t="s">
        <v>5</v>
      </c>
      <c r="T121" t="s">
        <v>6</v>
      </c>
      <c r="U121" t="s">
        <v>7</v>
      </c>
    </row>
    <row r="122" spans="1:22" x14ac:dyDescent="0.3">
      <c r="D122">
        <v>17</v>
      </c>
      <c r="M122" s="5"/>
      <c r="S122" t="s">
        <v>8</v>
      </c>
      <c r="T122" t="s">
        <v>9</v>
      </c>
    </row>
    <row r="123" spans="1:22" x14ac:dyDescent="0.3">
      <c r="D123" t="s">
        <v>15</v>
      </c>
      <c r="M123" s="5"/>
      <c r="S123" t="s">
        <v>10</v>
      </c>
      <c r="T123">
        <v>380</v>
      </c>
      <c r="U123" t="s">
        <v>11</v>
      </c>
    </row>
    <row r="124" spans="1:22" x14ac:dyDescent="0.3">
      <c r="A124">
        <v>3</v>
      </c>
      <c r="C124" t="s">
        <v>16</v>
      </c>
      <c r="D124" s="1">
        <v>73210</v>
      </c>
      <c r="M124" s="5"/>
      <c r="S124" t="s">
        <v>12</v>
      </c>
      <c r="T124">
        <v>10000</v>
      </c>
      <c r="U124" t="s">
        <v>26</v>
      </c>
    </row>
    <row r="125" spans="1:22" x14ac:dyDescent="0.3">
      <c r="A125">
        <v>6</v>
      </c>
      <c r="C125" t="s">
        <v>17</v>
      </c>
      <c r="D125" s="1">
        <v>680689</v>
      </c>
      <c r="M125" s="5"/>
      <c r="S125" t="s">
        <v>14</v>
      </c>
      <c r="T125">
        <v>2010000000</v>
      </c>
      <c r="U125" t="s">
        <v>6</v>
      </c>
    </row>
    <row r="126" spans="1:22" x14ac:dyDescent="0.3">
      <c r="M126" s="5"/>
    </row>
    <row r="127" spans="1:22" x14ac:dyDescent="0.3">
      <c r="A127" t="s">
        <v>0</v>
      </c>
      <c r="B127" t="s">
        <v>1</v>
      </c>
      <c r="M127" s="5"/>
      <c r="V127">
        <v>17</v>
      </c>
    </row>
    <row r="128" spans="1:22" x14ac:dyDescent="0.3">
      <c r="A128" t="s">
        <v>2</v>
      </c>
      <c r="B128">
        <v>1200</v>
      </c>
      <c r="M128" s="5"/>
      <c r="V128" t="s">
        <v>15</v>
      </c>
    </row>
    <row r="129" spans="1:22" x14ac:dyDescent="0.3">
      <c r="A129" t="s">
        <v>3</v>
      </c>
      <c r="B129" t="s">
        <v>4</v>
      </c>
      <c r="M129" s="5"/>
      <c r="S129">
        <v>0</v>
      </c>
      <c r="U129" t="s">
        <v>67</v>
      </c>
      <c r="V129" s="1">
        <v>924019</v>
      </c>
    </row>
    <row r="130" spans="1:22" x14ac:dyDescent="0.3">
      <c r="A130" t="s">
        <v>5</v>
      </c>
      <c r="B130" t="s">
        <v>6</v>
      </c>
      <c r="C130" t="s">
        <v>7</v>
      </c>
      <c r="M130" s="5"/>
    </row>
    <row r="131" spans="1:22" x14ac:dyDescent="0.3">
      <c r="A131" t="s">
        <v>8</v>
      </c>
      <c r="B131" t="s">
        <v>9</v>
      </c>
      <c r="M131" s="5"/>
      <c r="S131" t="s">
        <v>0</v>
      </c>
      <c r="T131" t="s">
        <v>1</v>
      </c>
    </row>
    <row r="132" spans="1:22" x14ac:dyDescent="0.3">
      <c r="A132" t="s">
        <v>10</v>
      </c>
      <c r="B132">
        <v>380</v>
      </c>
      <c r="C132" t="s">
        <v>11</v>
      </c>
      <c r="M132" s="5"/>
      <c r="S132" t="s">
        <v>2</v>
      </c>
      <c r="T132">
        <v>1200</v>
      </c>
    </row>
    <row r="133" spans="1:22" x14ac:dyDescent="0.3">
      <c r="A133" t="s">
        <v>12</v>
      </c>
      <c r="B133">
        <v>10000</v>
      </c>
      <c r="C133" t="s">
        <v>26</v>
      </c>
      <c r="M133" s="5"/>
      <c r="S133" t="s">
        <v>3</v>
      </c>
      <c r="T133" t="s">
        <v>4</v>
      </c>
    </row>
    <row r="134" spans="1:22" x14ac:dyDescent="0.3">
      <c r="A134" t="s">
        <v>14</v>
      </c>
      <c r="B134">
        <v>2010000000</v>
      </c>
      <c r="C134" t="s">
        <v>6</v>
      </c>
      <c r="M134" s="5"/>
      <c r="S134" t="s">
        <v>5</v>
      </c>
      <c r="T134" t="s">
        <v>6</v>
      </c>
      <c r="U134" t="s">
        <v>7</v>
      </c>
    </row>
    <row r="135" spans="1:22" x14ac:dyDescent="0.3">
      <c r="M135" s="5"/>
      <c r="S135" t="s">
        <v>8</v>
      </c>
      <c r="T135" t="s">
        <v>9</v>
      </c>
    </row>
    <row r="136" spans="1:22" x14ac:dyDescent="0.3">
      <c r="D136">
        <v>17</v>
      </c>
      <c r="M136" s="5"/>
      <c r="S136" t="s">
        <v>10</v>
      </c>
      <c r="T136">
        <v>380</v>
      </c>
      <c r="U136" t="s">
        <v>11</v>
      </c>
    </row>
    <row r="137" spans="1:22" x14ac:dyDescent="0.3">
      <c r="D137" t="s">
        <v>15</v>
      </c>
      <c r="S137" t="s">
        <v>12</v>
      </c>
      <c r="T137">
        <v>11000</v>
      </c>
      <c r="U137" t="s">
        <v>27</v>
      </c>
    </row>
    <row r="138" spans="1:22" x14ac:dyDescent="0.3">
      <c r="A138">
        <v>3</v>
      </c>
      <c r="C138" t="s">
        <v>16</v>
      </c>
      <c r="D138" s="1">
        <v>59677</v>
      </c>
      <c r="S138" t="s">
        <v>14</v>
      </c>
      <c r="T138">
        <v>2010000000</v>
      </c>
      <c r="U138" t="s">
        <v>6</v>
      </c>
    </row>
    <row r="139" spans="1:22" x14ac:dyDescent="0.3">
      <c r="A139">
        <v>6</v>
      </c>
      <c r="C139" t="s">
        <v>17</v>
      </c>
      <c r="D139" s="1">
        <v>702752</v>
      </c>
    </row>
    <row r="140" spans="1:22" x14ac:dyDescent="0.3">
      <c r="V140">
        <v>17</v>
      </c>
    </row>
    <row r="141" spans="1:22" x14ac:dyDescent="0.3">
      <c r="A141" t="s">
        <v>0</v>
      </c>
      <c r="B141" t="s">
        <v>1</v>
      </c>
      <c r="V141" t="s">
        <v>15</v>
      </c>
    </row>
    <row r="142" spans="1:22" x14ac:dyDescent="0.3">
      <c r="A142" t="s">
        <v>2</v>
      </c>
      <c r="B142">
        <v>1200</v>
      </c>
      <c r="S142">
        <v>0</v>
      </c>
      <c r="U142" t="s">
        <v>67</v>
      </c>
      <c r="V142" s="1">
        <v>3482958</v>
      </c>
    </row>
    <row r="143" spans="1:22" x14ac:dyDescent="0.3">
      <c r="A143" t="s">
        <v>3</v>
      </c>
      <c r="B143" t="s">
        <v>4</v>
      </c>
    </row>
    <row r="144" spans="1:22" x14ac:dyDescent="0.3">
      <c r="A144" t="s">
        <v>5</v>
      </c>
      <c r="B144" t="s">
        <v>6</v>
      </c>
      <c r="C144" t="s">
        <v>7</v>
      </c>
      <c r="S144" t="s">
        <v>0</v>
      </c>
      <c r="T144" t="s">
        <v>1</v>
      </c>
    </row>
    <row r="145" spans="1:22" x14ac:dyDescent="0.3">
      <c r="A145" t="s">
        <v>8</v>
      </c>
      <c r="B145" t="s">
        <v>9</v>
      </c>
      <c r="S145" t="s">
        <v>2</v>
      </c>
      <c r="T145">
        <v>1200</v>
      </c>
    </row>
    <row r="146" spans="1:22" x14ac:dyDescent="0.3">
      <c r="A146" t="s">
        <v>10</v>
      </c>
      <c r="B146">
        <v>380</v>
      </c>
      <c r="C146" t="s">
        <v>11</v>
      </c>
      <c r="S146" t="s">
        <v>3</v>
      </c>
      <c r="T146" t="s">
        <v>4</v>
      </c>
    </row>
    <row r="147" spans="1:22" x14ac:dyDescent="0.3">
      <c r="A147" t="s">
        <v>12</v>
      </c>
      <c r="B147">
        <v>11000</v>
      </c>
      <c r="C147" t="s">
        <v>27</v>
      </c>
      <c r="S147" t="s">
        <v>5</v>
      </c>
      <c r="T147" t="s">
        <v>6</v>
      </c>
      <c r="U147" t="s">
        <v>7</v>
      </c>
    </row>
    <row r="148" spans="1:22" x14ac:dyDescent="0.3">
      <c r="A148" t="s">
        <v>14</v>
      </c>
      <c r="B148">
        <v>2010000000</v>
      </c>
      <c r="C148" t="s">
        <v>6</v>
      </c>
      <c r="S148" t="s">
        <v>8</v>
      </c>
      <c r="T148" t="s">
        <v>9</v>
      </c>
    </row>
    <row r="149" spans="1:22" x14ac:dyDescent="0.3">
      <c r="S149" t="s">
        <v>10</v>
      </c>
      <c r="T149">
        <v>380</v>
      </c>
      <c r="U149" t="s">
        <v>11</v>
      </c>
    </row>
    <row r="150" spans="1:22" x14ac:dyDescent="0.3">
      <c r="D150">
        <v>17</v>
      </c>
      <c r="S150" t="s">
        <v>12</v>
      </c>
      <c r="T150">
        <v>12000</v>
      </c>
      <c r="U150" t="s">
        <v>28</v>
      </c>
    </row>
    <row r="151" spans="1:22" x14ac:dyDescent="0.3">
      <c r="D151" t="s">
        <v>15</v>
      </c>
      <c r="S151" t="s">
        <v>14</v>
      </c>
      <c r="T151">
        <v>2010000000</v>
      </c>
      <c r="U151" t="s">
        <v>6</v>
      </c>
    </row>
    <row r="152" spans="1:22" x14ac:dyDescent="0.3">
      <c r="A152">
        <v>3</v>
      </c>
      <c r="C152" t="s">
        <v>16</v>
      </c>
      <c r="D152" s="1">
        <v>1406913</v>
      </c>
    </row>
    <row r="153" spans="1:22" x14ac:dyDescent="0.3">
      <c r="A153">
        <v>6</v>
      </c>
      <c r="C153" t="s">
        <v>17</v>
      </c>
      <c r="D153" s="1">
        <v>1182007</v>
      </c>
      <c r="V153">
        <v>17</v>
      </c>
    </row>
    <row r="154" spans="1:22" x14ac:dyDescent="0.3">
      <c r="V154" t="s">
        <v>15</v>
      </c>
    </row>
    <row r="155" spans="1:22" x14ac:dyDescent="0.3">
      <c r="A155" t="s">
        <v>0</v>
      </c>
      <c r="B155" t="s">
        <v>1</v>
      </c>
      <c r="S155">
        <v>0</v>
      </c>
      <c r="U155" t="s">
        <v>67</v>
      </c>
      <c r="V155" s="1">
        <v>2905529</v>
      </c>
    </row>
    <row r="156" spans="1:22" x14ac:dyDescent="0.3">
      <c r="A156" t="s">
        <v>2</v>
      </c>
      <c r="B156">
        <v>1200</v>
      </c>
    </row>
    <row r="157" spans="1:22" x14ac:dyDescent="0.3">
      <c r="A157" t="s">
        <v>3</v>
      </c>
      <c r="B157" t="s">
        <v>4</v>
      </c>
      <c r="S157" t="s">
        <v>0</v>
      </c>
      <c r="T157" t="s">
        <v>1</v>
      </c>
    </row>
    <row r="158" spans="1:22" x14ac:dyDescent="0.3">
      <c r="A158" t="s">
        <v>5</v>
      </c>
      <c r="B158" t="s">
        <v>6</v>
      </c>
      <c r="C158" t="s">
        <v>7</v>
      </c>
      <c r="S158" t="s">
        <v>2</v>
      </c>
      <c r="T158">
        <v>1200</v>
      </c>
    </row>
    <row r="159" spans="1:22" x14ac:dyDescent="0.3">
      <c r="A159" t="s">
        <v>8</v>
      </c>
      <c r="B159" t="s">
        <v>9</v>
      </c>
      <c r="S159" t="s">
        <v>3</v>
      </c>
      <c r="T159" t="s">
        <v>4</v>
      </c>
    </row>
    <row r="160" spans="1:22" x14ac:dyDescent="0.3">
      <c r="A160" t="s">
        <v>10</v>
      </c>
      <c r="B160">
        <v>380</v>
      </c>
      <c r="C160" t="s">
        <v>11</v>
      </c>
      <c r="S160" t="s">
        <v>5</v>
      </c>
      <c r="T160" t="s">
        <v>6</v>
      </c>
      <c r="U160" t="s">
        <v>7</v>
      </c>
    </row>
    <row r="161" spans="1:22" x14ac:dyDescent="0.3">
      <c r="A161" t="s">
        <v>12</v>
      </c>
      <c r="B161">
        <v>12000</v>
      </c>
      <c r="C161" t="s">
        <v>28</v>
      </c>
      <c r="S161" t="s">
        <v>8</v>
      </c>
      <c r="T161" t="s">
        <v>9</v>
      </c>
    </row>
    <row r="162" spans="1:22" x14ac:dyDescent="0.3">
      <c r="A162" t="s">
        <v>14</v>
      </c>
      <c r="B162">
        <v>2010000000</v>
      </c>
      <c r="C162" t="s">
        <v>6</v>
      </c>
      <c r="S162" t="s">
        <v>10</v>
      </c>
      <c r="T162">
        <v>380</v>
      </c>
      <c r="U162" t="s">
        <v>11</v>
      </c>
    </row>
    <row r="163" spans="1:22" x14ac:dyDescent="0.3">
      <c r="S163" t="s">
        <v>12</v>
      </c>
      <c r="T163">
        <v>13000</v>
      </c>
      <c r="U163" t="s">
        <v>29</v>
      </c>
    </row>
    <row r="164" spans="1:22" x14ac:dyDescent="0.3">
      <c r="D164">
        <v>17</v>
      </c>
      <c r="S164" t="s">
        <v>14</v>
      </c>
      <c r="T164">
        <v>2010000000</v>
      </c>
      <c r="U164" t="s">
        <v>6</v>
      </c>
    </row>
    <row r="165" spans="1:22" x14ac:dyDescent="0.3">
      <c r="D165" t="s">
        <v>15</v>
      </c>
    </row>
    <row r="166" spans="1:22" x14ac:dyDescent="0.3">
      <c r="A166">
        <v>3</v>
      </c>
      <c r="C166" t="s">
        <v>16</v>
      </c>
      <c r="D166" s="1">
        <v>1244437</v>
      </c>
      <c r="V166">
        <v>17</v>
      </c>
    </row>
    <row r="167" spans="1:22" x14ac:dyDescent="0.3">
      <c r="A167">
        <v>6</v>
      </c>
      <c r="C167" t="s">
        <v>17</v>
      </c>
      <c r="D167" s="1">
        <v>1045033</v>
      </c>
      <c r="V167" t="s">
        <v>15</v>
      </c>
    </row>
    <row r="168" spans="1:22" x14ac:dyDescent="0.3">
      <c r="S168">
        <v>0</v>
      </c>
      <c r="U168" t="s">
        <v>67</v>
      </c>
      <c r="V168" s="1">
        <v>5655675</v>
      </c>
    </row>
    <row r="169" spans="1:22" x14ac:dyDescent="0.3">
      <c r="A169" t="s">
        <v>0</v>
      </c>
      <c r="B169" t="s">
        <v>1</v>
      </c>
    </row>
    <row r="170" spans="1:22" x14ac:dyDescent="0.3">
      <c r="A170" t="s">
        <v>2</v>
      </c>
      <c r="B170">
        <v>1200</v>
      </c>
      <c r="S170" t="s">
        <v>0</v>
      </c>
      <c r="T170" t="s">
        <v>1</v>
      </c>
    </row>
    <row r="171" spans="1:22" x14ac:dyDescent="0.3">
      <c r="A171" t="s">
        <v>3</v>
      </c>
      <c r="B171" t="s">
        <v>4</v>
      </c>
      <c r="S171" t="s">
        <v>2</v>
      </c>
      <c r="T171">
        <v>1200</v>
      </c>
    </row>
    <row r="172" spans="1:22" x14ac:dyDescent="0.3">
      <c r="A172" t="s">
        <v>5</v>
      </c>
      <c r="B172" t="s">
        <v>6</v>
      </c>
      <c r="C172" t="s">
        <v>7</v>
      </c>
      <c r="S172" t="s">
        <v>3</v>
      </c>
      <c r="T172" t="s">
        <v>4</v>
      </c>
    </row>
    <row r="173" spans="1:22" x14ac:dyDescent="0.3">
      <c r="A173" t="s">
        <v>8</v>
      </c>
      <c r="B173" t="s">
        <v>9</v>
      </c>
      <c r="S173" t="s">
        <v>5</v>
      </c>
      <c r="T173" t="s">
        <v>6</v>
      </c>
      <c r="U173" t="s">
        <v>7</v>
      </c>
    </row>
    <row r="174" spans="1:22" x14ac:dyDescent="0.3">
      <c r="A174" t="s">
        <v>10</v>
      </c>
      <c r="B174">
        <v>380</v>
      </c>
      <c r="C174" t="s">
        <v>11</v>
      </c>
      <c r="S174" t="s">
        <v>8</v>
      </c>
      <c r="T174" t="s">
        <v>9</v>
      </c>
    </row>
    <row r="175" spans="1:22" x14ac:dyDescent="0.3">
      <c r="A175" t="s">
        <v>12</v>
      </c>
      <c r="B175">
        <v>13000</v>
      </c>
      <c r="C175" t="s">
        <v>29</v>
      </c>
      <c r="S175" t="s">
        <v>10</v>
      </c>
      <c r="T175">
        <v>380</v>
      </c>
      <c r="U175" t="s">
        <v>11</v>
      </c>
    </row>
    <row r="176" spans="1:22" x14ac:dyDescent="0.3">
      <c r="A176" t="s">
        <v>14</v>
      </c>
      <c r="B176">
        <v>2010000000</v>
      </c>
      <c r="C176" t="s">
        <v>6</v>
      </c>
      <c r="S176" t="s">
        <v>12</v>
      </c>
      <c r="T176">
        <v>14000</v>
      </c>
      <c r="U176" t="s">
        <v>30</v>
      </c>
    </row>
    <row r="177" spans="1:22" x14ac:dyDescent="0.3">
      <c r="S177" t="s">
        <v>14</v>
      </c>
      <c r="T177">
        <v>2010000000</v>
      </c>
      <c r="U177" t="s">
        <v>6</v>
      </c>
    </row>
    <row r="178" spans="1:22" x14ac:dyDescent="0.3">
      <c r="D178">
        <v>17</v>
      </c>
    </row>
    <row r="179" spans="1:22" x14ac:dyDescent="0.3">
      <c r="D179" t="s">
        <v>15</v>
      </c>
      <c r="V179">
        <v>17</v>
      </c>
    </row>
    <row r="180" spans="1:22" x14ac:dyDescent="0.3">
      <c r="A180">
        <v>3</v>
      </c>
      <c r="C180" t="s">
        <v>16</v>
      </c>
      <c r="D180" s="1">
        <v>3216810</v>
      </c>
      <c r="V180" t="s">
        <v>15</v>
      </c>
    </row>
    <row r="181" spans="1:22" x14ac:dyDescent="0.3">
      <c r="A181">
        <v>6</v>
      </c>
      <c r="C181" t="s">
        <v>17</v>
      </c>
      <c r="D181" s="1">
        <v>578127</v>
      </c>
      <c r="S181">
        <v>0</v>
      </c>
      <c r="U181" t="s">
        <v>67</v>
      </c>
      <c r="V181" s="1">
        <v>4316963</v>
      </c>
    </row>
    <row r="183" spans="1:22" x14ac:dyDescent="0.3">
      <c r="A183" t="s">
        <v>0</v>
      </c>
      <c r="B183" t="s">
        <v>1</v>
      </c>
      <c r="S183" t="s">
        <v>0</v>
      </c>
      <c r="T183" t="s">
        <v>1</v>
      </c>
    </row>
    <row r="184" spans="1:22" x14ac:dyDescent="0.3">
      <c r="A184" t="s">
        <v>2</v>
      </c>
      <c r="B184">
        <v>1200</v>
      </c>
      <c r="S184" t="s">
        <v>2</v>
      </c>
      <c r="T184">
        <v>1200</v>
      </c>
    </row>
    <row r="185" spans="1:22" x14ac:dyDescent="0.3">
      <c r="A185" t="s">
        <v>3</v>
      </c>
      <c r="B185" t="s">
        <v>4</v>
      </c>
      <c r="S185" t="s">
        <v>3</v>
      </c>
      <c r="T185" t="s">
        <v>4</v>
      </c>
    </row>
    <row r="186" spans="1:22" x14ac:dyDescent="0.3">
      <c r="A186" t="s">
        <v>5</v>
      </c>
      <c r="B186" t="s">
        <v>6</v>
      </c>
      <c r="C186" t="s">
        <v>7</v>
      </c>
      <c r="S186" t="s">
        <v>5</v>
      </c>
      <c r="T186" t="s">
        <v>6</v>
      </c>
      <c r="U186" t="s">
        <v>7</v>
      </c>
    </row>
    <row r="187" spans="1:22" x14ac:dyDescent="0.3">
      <c r="A187" t="s">
        <v>8</v>
      </c>
      <c r="B187" t="s">
        <v>9</v>
      </c>
      <c r="S187" t="s">
        <v>8</v>
      </c>
      <c r="T187" t="s">
        <v>9</v>
      </c>
    </row>
    <row r="188" spans="1:22" x14ac:dyDescent="0.3">
      <c r="A188" t="s">
        <v>10</v>
      </c>
      <c r="B188">
        <v>380</v>
      </c>
      <c r="C188" t="s">
        <v>11</v>
      </c>
      <c r="S188" t="s">
        <v>10</v>
      </c>
      <c r="T188">
        <v>380</v>
      </c>
      <c r="U188" t="s">
        <v>11</v>
      </c>
    </row>
    <row r="189" spans="1:22" x14ac:dyDescent="0.3">
      <c r="A189" t="s">
        <v>12</v>
      </c>
      <c r="B189">
        <v>14000</v>
      </c>
      <c r="C189" t="s">
        <v>30</v>
      </c>
      <c r="S189" t="s">
        <v>12</v>
      </c>
      <c r="T189">
        <v>15000</v>
      </c>
      <c r="U189" t="s">
        <v>31</v>
      </c>
    </row>
    <row r="190" spans="1:22" x14ac:dyDescent="0.3">
      <c r="A190" t="s">
        <v>14</v>
      </c>
      <c r="B190">
        <v>2010000000</v>
      </c>
      <c r="C190" t="s">
        <v>6</v>
      </c>
      <c r="S190" t="s">
        <v>14</v>
      </c>
      <c r="T190">
        <v>2010000000</v>
      </c>
      <c r="U190" t="s">
        <v>6</v>
      </c>
    </row>
    <row r="192" spans="1:22" x14ac:dyDescent="0.3">
      <c r="D192">
        <v>17</v>
      </c>
      <c r="V192">
        <v>17</v>
      </c>
    </row>
    <row r="193" spans="1:22" x14ac:dyDescent="0.3">
      <c r="D193" t="s">
        <v>15</v>
      </c>
      <c r="V193" t="s">
        <v>15</v>
      </c>
    </row>
    <row r="194" spans="1:22" x14ac:dyDescent="0.3">
      <c r="A194">
        <v>3</v>
      </c>
      <c r="C194" t="s">
        <v>16</v>
      </c>
      <c r="D194" s="1">
        <v>2200094</v>
      </c>
      <c r="S194">
        <v>0</v>
      </c>
      <c r="U194" t="s">
        <v>67</v>
      </c>
      <c r="V194" s="1">
        <v>1120137</v>
      </c>
    </row>
    <row r="195" spans="1:22" x14ac:dyDescent="0.3">
      <c r="A195">
        <v>6</v>
      </c>
      <c r="C195" t="s">
        <v>17</v>
      </c>
      <c r="D195" s="1">
        <v>892975</v>
      </c>
    </row>
    <row r="196" spans="1:22" x14ac:dyDescent="0.3">
      <c r="S196" t="s">
        <v>0</v>
      </c>
      <c r="T196" t="s">
        <v>1</v>
      </c>
    </row>
    <row r="197" spans="1:22" x14ac:dyDescent="0.3">
      <c r="A197" t="s">
        <v>0</v>
      </c>
      <c r="B197" t="s">
        <v>1</v>
      </c>
      <c r="S197" t="s">
        <v>2</v>
      </c>
      <c r="T197">
        <v>1200</v>
      </c>
    </row>
    <row r="198" spans="1:22" x14ac:dyDescent="0.3">
      <c r="A198" t="s">
        <v>2</v>
      </c>
      <c r="B198">
        <v>1200</v>
      </c>
      <c r="S198" t="s">
        <v>3</v>
      </c>
      <c r="T198" t="s">
        <v>4</v>
      </c>
    </row>
    <row r="199" spans="1:22" x14ac:dyDescent="0.3">
      <c r="A199" t="s">
        <v>3</v>
      </c>
      <c r="B199" t="s">
        <v>4</v>
      </c>
      <c r="S199" t="s">
        <v>5</v>
      </c>
      <c r="T199" t="s">
        <v>6</v>
      </c>
      <c r="U199" t="s">
        <v>7</v>
      </c>
    </row>
    <row r="200" spans="1:22" x14ac:dyDescent="0.3">
      <c r="A200" t="s">
        <v>5</v>
      </c>
      <c r="B200" t="s">
        <v>6</v>
      </c>
      <c r="C200" t="s">
        <v>7</v>
      </c>
      <c r="S200" t="s">
        <v>8</v>
      </c>
      <c r="T200" t="s">
        <v>9</v>
      </c>
    </row>
    <row r="201" spans="1:22" x14ac:dyDescent="0.3">
      <c r="A201" t="s">
        <v>8</v>
      </c>
      <c r="B201" t="s">
        <v>9</v>
      </c>
      <c r="S201" t="s">
        <v>10</v>
      </c>
      <c r="T201">
        <v>380</v>
      </c>
      <c r="U201" t="s">
        <v>11</v>
      </c>
    </row>
    <row r="202" spans="1:22" x14ac:dyDescent="0.3">
      <c r="A202" t="s">
        <v>10</v>
      </c>
      <c r="B202">
        <v>380</v>
      </c>
      <c r="C202" t="s">
        <v>11</v>
      </c>
      <c r="S202" t="s">
        <v>12</v>
      </c>
      <c r="T202">
        <v>16000</v>
      </c>
      <c r="U202" t="s">
        <v>32</v>
      </c>
    </row>
    <row r="203" spans="1:22" x14ac:dyDescent="0.3">
      <c r="A203" t="s">
        <v>12</v>
      </c>
      <c r="B203">
        <v>15000</v>
      </c>
      <c r="C203" t="s">
        <v>31</v>
      </c>
      <c r="S203" t="s">
        <v>14</v>
      </c>
      <c r="T203">
        <v>2010000000</v>
      </c>
      <c r="U203" t="s">
        <v>6</v>
      </c>
    </row>
    <row r="204" spans="1:22" x14ac:dyDescent="0.3">
      <c r="A204" t="s">
        <v>14</v>
      </c>
      <c r="B204">
        <v>2010000000</v>
      </c>
      <c r="C204" t="s">
        <v>6</v>
      </c>
    </row>
    <row r="205" spans="1:22" x14ac:dyDescent="0.3">
      <c r="V205">
        <v>17</v>
      </c>
    </row>
    <row r="206" spans="1:22" x14ac:dyDescent="0.3">
      <c r="D206">
        <v>17</v>
      </c>
      <c r="V206" t="s">
        <v>15</v>
      </c>
    </row>
    <row r="207" spans="1:22" x14ac:dyDescent="0.3">
      <c r="D207" t="s">
        <v>15</v>
      </c>
      <c r="S207">
        <v>0</v>
      </c>
      <c r="U207" t="s">
        <v>67</v>
      </c>
      <c r="V207" s="1">
        <v>537258</v>
      </c>
    </row>
    <row r="208" spans="1:22" x14ac:dyDescent="0.3">
      <c r="A208">
        <v>3</v>
      </c>
      <c r="C208" t="s">
        <v>16</v>
      </c>
      <c r="D208" s="1">
        <v>68520</v>
      </c>
    </row>
    <row r="209" spans="1:22" x14ac:dyDescent="0.3">
      <c r="A209">
        <v>6</v>
      </c>
      <c r="C209" t="s">
        <v>17</v>
      </c>
      <c r="D209" s="1">
        <v>817186</v>
      </c>
      <c r="S209" t="s">
        <v>0</v>
      </c>
      <c r="T209" t="s">
        <v>1</v>
      </c>
    </row>
    <row r="210" spans="1:22" x14ac:dyDescent="0.3">
      <c r="S210" t="s">
        <v>2</v>
      </c>
      <c r="T210">
        <v>1200</v>
      </c>
    </row>
    <row r="211" spans="1:22" x14ac:dyDescent="0.3">
      <c r="A211" t="s">
        <v>0</v>
      </c>
      <c r="B211" t="s">
        <v>1</v>
      </c>
      <c r="S211" t="s">
        <v>3</v>
      </c>
      <c r="T211" t="s">
        <v>4</v>
      </c>
    </row>
    <row r="212" spans="1:22" x14ac:dyDescent="0.3">
      <c r="A212" t="s">
        <v>2</v>
      </c>
      <c r="B212">
        <v>1200</v>
      </c>
      <c r="S212" t="s">
        <v>5</v>
      </c>
      <c r="T212" t="s">
        <v>6</v>
      </c>
      <c r="U212" t="s">
        <v>7</v>
      </c>
    </row>
    <row r="213" spans="1:22" x14ac:dyDescent="0.3">
      <c r="A213" t="s">
        <v>3</v>
      </c>
      <c r="B213" t="s">
        <v>4</v>
      </c>
      <c r="S213" t="s">
        <v>8</v>
      </c>
      <c r="T213" t="s">
        <v>9</v>
      </c>
    </row>
    <row r="214" spans="1:22" x14ac:dyDescent="0.3">
      <c r="A214" t="s">
        <v>5</v>
      </c>
      <c r="B214" t="s">
        <v>6</v>
      </c>
      <c r="C214" t="s">
        <v>7</v>
      </c>
      <c r="S214" t="s">
        <v>10</v>
      </c>
      <c r="T214">
        <v>380</v>
      </c>
      <c r="U214" t="s">
        <v>11</v>
      </c>
    </row>
    <row r="215" spans="1:22" x14ac:dyDescent="0.3">
      <c r="A215" t="s">
        <v>8</v>
      </c>
      <c r="B215" t="s">
        <v>9</v>
      </c>
      <c r="S215" t="s">
        <v>12</v>
      </c>
      <c r="T215">
        <v>17000</v>
      </c>
      <c r="U215" t="s">
        <v>33</v>
      </c>
    </row>
    <row r="216" spans="1:22" x14ac:dyDescent="0.3">
      <c r="A216" t="s">
        <v>10</v>
      </c>
      <c r="B216">
        <v>380</v>
      </c>
      <c r="C216" t="s">
        <v>11</v>
      </c>
      <c r="S216" t="s">
        <v>14</v>
      </c>
      <c r="T216">
        <v>2010000000</v>
      </c>
      <c r="U216" t="s">
        <v>6</v>
      </c>
    </row>
    <row r="217" spans="1:22" x14ac:dyDescent="0.3">
      <c r="A217" t="s">
        <v>12</v>
      </c>
      <c r="B217">
        <v>16000</v>
      </c>
      <c r="C217" t="s">
        <v>32</v>
      </c>
    </row>
    <row r="218" spans="1:22" x14ac:dyDescent="0.3">
      <c r="A218" t="s">
        <v>14</v>
      </c>
      <c r="B218">
        <v>2010000000</v>
      </c>
      <c r="C218" t="s">
        <v>6</v>
      </c>
      <c r="V218">
        <v>17</v>
      </c>
    </row>
    <row r="219" spans="1:22" x14ac:dyDescent="0.3">
      <c r="V219" t="s">
        <v>15</v>
      </c>
    </row>
    <row r="220" spans="1:22" x14ac:dyDescent="0.3">
      <c r="D220">
        <v>17</v>
      </c>
      <c r="S220">
        <v>0</v>
      </c>
      <c r="U220" t="s">
        <v>67</v>
      </c>
      <c r="V220" s="1">
        <v>569120</v>
      </c>
    </row>
    <row r="221" spans="1:22" x14ac:dyDescent="0.3">
      <c r="D221" t="s">
        <v>15</v>
      </c>
    </row>
    <row r="222" spans="1:22" x14ac:dyDescent="0.3">
      <c r="A222">
        <v>3</v>
      </c>
      <c r="C222" t="s">
        <v>16</v>
      </c>
      <c r="D222" s="1">
        <v>33269</v>
      </c>
      <c r="S222" t="s">
        <v>0</v>
      </c>
      <c r="T222" t="s">
        <v>1</v>
      </c>
    </row>
    <row r="223" spans="1:22" x14ac:dyDescent="0.3">
      <c r="A223">
        <v>6</v>
      </c>
      <c r="C223" t="s">
        <v>17</v>
      </c>
      <c r="D223" s="1">
        <v>421135</v>
      </c>
      <c r="S223" t="s">
        <v>2</v>
      </c>
      <c r="T223">
        <v>1200</v>
      </c>
    </row>
    <row r="224" spans="1:22" x14ac:dyDescent="0.3">
      <c r="S224" t="s">
        <v>3</v>
      </c>
      <c r="T224" t="s">
        <v>4</v>
      </c>
    </row>
    <row r="225" spans="1:22" x14ac:dyDescent="0.3">
      <c r="A225" t="s">
        <v>0</v>
      </c>
      <c r="B225" t="s">
        <v>1</v>
      </c>
      <c r="S225" t="s">
        <v>5</v>
      </c>
      <c r="T225" t="s">
        <v>6</v>
      </c>
      <c r="U225" t="s">
        <v>7</v>
      </c>
    </row>
    <row r="226" spans="1:22" x14ac:dyDescent="0.3">
      <c r="A226" t="s">
        <v>2</v>
      </c>
      <c r="B226">
        <v>1200</v>
      </c>
      <c r="S226" t="s">
        <v>8</v>
      </c>
      <c r="T226" t="s">
        <v>9</v>
      </c>
    </row>
    <row r="227" spans="1:22" x14ac:dyDescent="0.3">
      <c r="A227" t="s">
        <v>3</v>
      </c>
      <c r="B227" t="s">
        <v>4</v>
      </c>
      <c r="S227" t="s">
        <v>10</v>
      </c>
      <c r="T227">
        <v>380</v>
      </c>
      <c r="U227" t="s">
        <v>11</v>
      </c>
    </row>
    <row r="228" spans="1:22" x14ac:dyDescent="0.3">
      <c r="A228" t="s">
        <v>5</v>
      </c>
      <c r="B228" t="s">
        <v>6</v>
      </c>
      <c r="C228" t="s">
        <v>7</v>
      </c>
      <c r="S228" t="s">
        <v>12</v>
      </c>
      <c r="T228">
        <v>18000</v>
      </c>
      <c r="U228" t="s">
        <v>34</v>
      </c>
    </row>
    <row r="229" spans="1:22" x14ac:dyDescent="0.3">
      <c r="A229" t="s">
        <v>8</v>
      </c>
      <c r="B229" t="s">
        <v>9</v>
      </c>
      <c r="S229" t="s">
        <v>14</v>
      </c>
      <c r="T229">
        <v>2010000000</v>
      </c>
      <c r="U229" t="s">
        <v>6</v>
      </c>
    </row>
    <row r="230" spans="1:22" x14ac:dyDescent="0.3">
      <c r="A230" t="s">
        <v>10</v>
      </c>
      <c r="B230">
        <v>380</v>
      </c>
      <c r="C230" t="s">
        <v>11</v>
      </c>
    </row>
    <row r="231" spans="1:22" x14ac:dyDescent="0.3">
      <c r="A231" t="s">
        <v>12</v>
      </c>
      <c r="B231">
        <v>17000</v>
      </c>
      <c r="C231" t="s">
        <v>33</v>
      </c>
      <c r="V231">
        <v>17</v>
      </c>
    </row>
    <row r="232" spans="1:22" x14ac:dyDescent="0.3">
      <c r="A232" t="s">
        <v>14</v>
      </c>
      <c r="B232">
        <v>2010000000</v>
      </c>
      <c r="C232" t="s">
        <v>6</v>
      </c>
      <c r="V232" t="s">
        <v>15</v>
      </c>
    </row>
    <row r="233" spans="1:22" x14ac:dyDescent="0.3">
      <c r="S233">
        <v>0</v>
      </c>
      <c r="U233" t="s">
        <v>67</v>
      </c>
      <c r="V233" s="1">
        <v>391554</v>
      </c>
    </row>
    <row r="234" spans="1:22" x14ac:dyDescent="0.3">
      <c r="D234">
        <v>17</v>
      </c>
    </row>
    <row r="235" spans="1:22" x14ac:dyDescent="0.3">
      <c r="D235" t="s">
        <v>15</v>
      </c>
      <c r="S235" t="s">
        <v>0</v>
      </c>
      <c r="T235" t="s">
        <v>1</v>
      </c>
    </row>
    <row r="236" spans="1:22" x14ac:dyDescent="0.3">
      <c r="A236">
        <v>3</v>
      </c>
      <c r="C236" t="s">
        <v>16</v>
      </c>
      <c r="D236" s="1">
        <v>25311</v>
      </c>
      <c r="S236" t="s">
        <v>2</v>
      </c>
      <c r="T236">
        <v>1200</v>
      </c>
    </row>
    <row r="237" spans="1:22" x14ac:dyDescent="0.3">
      <c r="A237">
        <v>6</v>
      </c>
      <c r="C237" t="s">
        <v>17</v>
      </c>
      <c r="D237" s="1">
        <v>405626</v>
      </c>
      <c r="S237" t="s">
        <v>3</v>
      </c>
      <c r="T237" t="s">
        <v>4</v>
      </c>
    </row>
    <row r="238" spans="1:22" x14ac:dyDescent="0.3">
      <c r="S238" t="s">
        <v>5</v>
      </c>
      <c r="T238" t="s">
        <v>6</v>
      </c>
      <c r="U238" t="s">
        <v>7</v>
      </c>
    </row>
    <row r="239" spans="1:22" x14ac:dyDescent="0.3">
      <c r="A239" t="s">
        <v>0</v>
      </c>
      <c r="B239" t="s">
        <v>1</v>
      </c>
      <c r="S239" t="s">
        <v>8</v>
      </c>
      <c r="T239" t="s">
        <v>9</v>
      </c>
    </row>
    <row r="240" spans="1:22" x14ac:dyDescent="0.3">
      <c r="A240" t="s">
        <v>2</v>
      </c>
      <c r="B240">
        <v>1200</v>
      </c>
      <c r="S240" t="s">
        <v>10</v>
      </c>
      <c r="T240">
        <v>380</v>
      </c>
      <c r="U240" t="s">
        <v>11</v>
      </c>
    </row>
    <row r="241" spans="1:22" x14ac:dyDescent="0.3">
      <c r="A241" t="s">
        <v>3</v>
      </c>
      <c r="B241" t="s">
        <v>4</v>
      </c>
      <c r="S241" t="s">
        <v>12</v>
      </c>
      <c r="T241">
        <v>19000</v>
      </c>
      <c r="U241" t="s">
        <v>35</v>
      </c>
    </row>
    <row r="242" spans="1:22" x14ac:dyDescent="0.3">
      <c r="A242" t="s">
        <v>5</v>
      </c>
      <c r="B242" t="s">
        <v>6</v>
      </c>
      <c r="C242" t="s">
        <v>7</v>
      </c>
      <c r="S242" t="s">
        <v>14</v>
      </c>
      <c r="T242">
        <v>2010000000</v>
      </c>
      <c r="U242" t="s">
        <v>6</v>
      </c>
    </row>
    <row r="243" spans="1:22" x14ac:dyDescent="0.3">
      <c r="A243" t="s">
        <v>8</v>
      </c>
      <c r="B243" t="s">
        <v>9</v>
      </c>
    </row>
    <row r="244" spans="1:22" x14ac:dyDescent="0.3">
      <c r="A244" t="s">
        <v>10</v>
      </c>
      <c r="B244">
        <v>380</v>
      </c>
      <c r="C244" t="s">
        <v>11</v>
      </c>
      <c r="V244">
        <v>17</v>
      </c>
    </row>
    <row r="245" spans="1:22" x14ac:dyDescent="0.3">
      <c r="A245" t="s">
        <v>12</v>
      </c>
      <c r="B245">
        <v>18000</v>
      </c>
      <c r="C245" t="s">
        <v>34</v>
      </c>
      <c r="V245" t="s">
        <v>15</v>
      </c>
    </row>
    <row r="246" spans="1:22" x14ac:dyDescent="0.3">
      <c r="A246" t="s">
        <v>14</v>
      </c>
      <c r="B246">
        <v>2010000000</v>
      </c>
      <c r="C246" t="s">
        <v>6</v>
      </c>
      <c r="S246">
        <v>0</v>
      </c>
      <c r="U246" t="s">
        <v>67</v>
      </c>
      <c r="V246" s="1">
        <v>392896</v>
      </c>
    </row>
    <row r="248" spans="1:22" x14ac:dyDescent="0.3">
      <c r="D248">
        <v>17</v>
      </c>
      <c r="S248" t="s">
        <v>0</v>
      </c>
      <c r="T248" t="s">
        <v>1</v>
      </c>
    </row>
    <row r="249" spans="1:22" x14ac:dyDescent="0.3">
      <c r="D249" t="s">
        <v>15</v>
      </c>
      <c r="S249" t="s">
        <v>2</v>
      </c>
      <c r="T249">
        <v>1200</v>
      </c>
    </row>
    <row r="250" spans="1:22" x14ac:dyDescent="0.3">
      <c r="A250">
        <v>3</v>
      </c>
      <c r="C250" t="s">
        <v>16</v>
      </c>
      <c r="D250" s="1">
        <v>17131</v>
      </c>
      <c r="S250" t="s">
        <v>3</v>
      </c>
      <c r="T250" t="s">
        <v>4</v>
      </c>
    </row>
    <row r="251" spans="1:22" x14ac:dyDescent="0.3">
      <c r="A251">
        <v>6</v>
      </c>
      <c r="C251" t="s">
        <v>17</v>
      </c>
      <c r="D251" s="1">
        <v>301186</v>
      </c>
      <c r="S251" t="s">
        <v>5</v>
      </c>
      <c r="T251" t="s">
        <v>6</v>
      </c>
      <c r="U251" t="s">
        <v>7</v>
      </c>
    </row>
    <row r="252" spans="1:22" x14ac:dyDescent="0.3">
      <c r="S252" t="s">
        <v>8</v>
      </c>
      <c r="T252" t="s">
        <v>9</v>
      </c>
    </row>
    <row r="253" spans="1:22" x14ac:dyDescent="0.3">
      <c r="A253" t="s">
        <v>0</v>
      </c>
      <c r="B253" t="s">
        <v>1</v>
      </c>
      <c r="S253" t="s">
        <v>10</v>
      </c>
      <c r="T253">
        <v>380</v>
      </c>
      <c r="U253" t="s">
        <v>11</v>
      </c>
    </row>
    <row r="254" spans="1:22" x14ac:dyDescent="0.3">
      <c r="A254" t="s">
        <v>2</v>
      </c>
      <c r="B254">
        <v>1200</v>
      </c>
      <c r="S254" t="s">
        <v>12</v>
      </c>
      <c r="T254">
        <v>20000</v>
      </c>
      <c r="U254" t="s">
        <v>36</v>
      </c>
    </row>
    <row r="255" spans="1:22" x14ac:dyDescent="0.3">
      <c r="A255" t="s">
        <v>3</v>
      </c>
      <c r="B255" t="s">
        <v>4</v>
      </c>
      <c r="S255" t="s">
        <v>14</v>
      </c>
      <c r="T255">
        <v>2010000000</v>
      </c>
      <c r="U255" t="s">
        <v>6</v>
      </c>
    </row>
    <row r="256" spans="1:22" x14ac:dyDescent="0.3">
      <c r="A256" t="s">
        <v>5</v>
      </c>
      <c r="B256" t="s">
        <v>6</v>
      </c>
      <c r="C256" t="s">
        <v>7</v>
      </c>
    </row>
    <row r="257" spans="1:22" x14ac:dyDescent="0.3">
      <c r="A257" t="s">
        <v>8</v>
      </c>
      <c r="B257" t="s">
        <v>9</v>
      </c>
      <c r="V257">
        <v>17</v>
      </c>
    </row>
    <row r="258" spans="1:22" x14ac:dyDescent="0.3">
      <c r="A258" t="s">
        <v>10</v>
      </c>
      <c r="B258">
        <v>380</v>
      </c>
      <c r="C258" t="s">
        <v>11</v>
      </c>
      <c r="V258" t="s">
        <v>15</v>
      </c>
    </row>
    <row r="259" spans="1:22" x14ac:dyDescent="0.3">
      <c r="A259" t="s">
        <v>12</v>
      </c>
      <c r="B259">
        <v>19000</v>
      </c>
      <c r="C259" t="s">
        <v>35</v>
      </c>
      <c r="S259">
        <v>0</v>
      </c>
      <c r="U259" t="s">
        <v>67</v>
      </c>
      <c r="V259" s="1">
        <v>1003282</v>
      </c>
    </row>
    <row r="260" spans="1:22" x14ac:dyDescent="0.3">
      <c r="A260" t="s">
        <v>14</v>
      </c>
      <c r="B260">
        <v>2010000000</v>
      </c>
      <c r="C260" t="s">
        <v>6</v>
      </c>
    </row>
    <row r="261" spans="1:22" x14ac:dyDescent="0.3">
      <c r="S261" t="s">
        <v>0</v>
      </c>
      <c r="T261" t="s">
        <v>1</v>
      </c>
    </row>
    <row r="262" spans="1:22" x14ac:dyDescent="0.3">
      <c r="D262">
        <v>17</v>
      </c>
      <c r="S262" t="s">
        <v>2</v>
      </c>
      <c r="T262">
        <v>1200</v>
      </c>
    </row>
    <row r="263" spans="1:22" x14ac:dyDescent="0.3">
      <c r="D263" t="s">
        <v>15</v>
      </c>
      <c r="S263" t="s">
        <v>3</v>
      </c>
      <c r="T263" t="s">
        <v>4</v>
      </c>
    </row>
    <row r="264" spans="1:22" x14ac:dyDescent="0.3">
      <c r="A264">
        <v>3</v>
      </c>
      <c r="C264" t="s">
        <v>16</v>
      </c>
      <c r="D264" s="1">
        <v>27774</v>
      </c>
      <c r="S264" t="s">
        <v>5</v>
      </c>
      <c r="T264" t="s">
        <v>6</v>
      </c>
      <c r="U264" t="s">
        <v>7</v>
      </c>
    </row>
    <row r="265" spans="1:22" x14ac:dyDescent="0.3">
      <c r="A265">
        <v>6</v>
      </c>
      <c r="C265" t="s">
        <v>17</v>
      </c>
      <c r="D265" s="1">
        <v>279837</v>
      </c>
      <c r="S265" t="s">
        <v>8</v>
      </c>
      <c r="T265" t="s">
        <v>9</v>
      </c>
    </row>
    <row r="266" spans="1:22" x14ac:dyDescent="0.3">
      <c r="S266" t="s">
        <v>10</v>
      </c>
      <c r="T266">
        <v>380</v>
      </c>
      <c r="U266" t="s">
        <v>11</v>
      </c>
    </row>
    <row r="267" spans="1:22" x14ac:dyDescent="0.3">
      <c r="A267" t="s">
        <v>0</v>
      </c>
      <c r="B267" t="s">
        <v>1</v>
      </c>
      <c r="S267" t="s">
        <v>12</v>
      </c>
      <c r="T267">
        <v>21000</v>
      </c>
      <c r="U267" t="s">
        <v>37</v>
      </c>
    </row>
    <row r="268" spans="1:22" x14ac:dyDescent="0.3">
      <c r="A268" t="s">
        <v>2</v>
      </c>
      <c r="B268">
        <v>1200</v>
      </c>
      <c r="S268" t="s">
        <v>14</v>
      </c>
      <c r="T268">
        <v>2010000000</v>
      </c>
      <c r="U268" t="s">
        <v>6</v>
      </c>
    </row>
    <row r="269" spans="1:22" x14ac:dyDescent="0.3">
      <c r="A269" t="s">
        <v>3</v>
      </c>
      <c r="B269" t="s">
        <v>4</v>
      </c>
    </row>
    <row r="270" spans="1:22" x14ac:dyDescent="0.3">
      <c r="A270" t="s">
        <v>5</v>
      </c>
      <c r="B270" t="s">
        <v>6</v>
      </c>
      <c r="C270" t="s">
        <v>7</v>
      </c>
      <c r="V270">
        <v>17</v>
      </c>
    </row>
    <row r="271" spans="1:22" x14ac:dyDescent="0.3">
      <c r="A271" t="s">
        <v>8</v>
      </c>
      <c r="B271" t="s">
        <v>9</v>
      </c>
      <c r="V271" t="s">
        <v>15</v>
      </c>
    </row>
    <row r="272" spans="1:22" x14ac:dyDescent="0.3">
      <c r="A272" t="s">
        <v>10</v>
      </c>
      <c r="B272">
        <v>380</v>
      </c>
      <c r="C272" t="s">
        <v>11</v>
      </c>
      <c r="S272">
        <v>0</v>
      </c>
      <c r="U272" t="s">
        <v>67</v>
      </c>
      <c r="V272" s="1">
        <v>988265</v>
      </c>
    </row>
    <row r="273" spans="1:22" x14ac:dyDescent="0.3">
      <c r="A273" t="s">
        <v>12</v>
      </c>
      <c r="B273">
        <v>20000</v>
      </c>
      <c r="C273" t="s">
        <v>36</v>
      </c>
    </row>
    <row r="274" spans="1:22" x14ac:dyDescent="0.3">
      <c r="A274" t="s">
        <v>14</v>
      </c>
      <c r="B274">
        <v>2010000000</v>
      </c>
      <c r="C274" t="s">
        <v>6</v>
      </c>
      <c r="S274" t="s">
        <v>0</v>
      </c>
      <c r="T274" t="s">
        <v>1</v>
      </c>
    </row>
    <row r="275" spans="1:22" x14ac:dyDescent="0.3">
      <c r="S275" t="s">
        <v>2</v>
      </c>
      <c r="T275">
        <v>1200</v>
      </c>
    </row>
    <row r="276" spans="1:22" x14ac:dyDescent="0.3">
      <c r="D276">
        <v>17</v>
      </c>
      <c r="S276" t="s">
        <v>3</v>
      </c>
      <c r="T276" t="s">
        <v>4</v>
      </c>
    </row>
    <row r="277" spans="1:22" x14ac:dyDescent="0.3">
      <c r="D277" t="s">
        <v>15</v>
      </c>
      <c r="S277" t="s">
        <v>5</v>
      </c>
      <c r="T277" t="s">
        <v>6</v>
      </c>
      <c r="U277" t="s">
        <v>7</v>
      </c>
    </row>
    <row r="278" spans="1:22" x14ac:dyDescent="0.3">
      <c r="A278">
        <v>3</v>
      </c>
      <c r="C278" t="s">
        <v>16</v>
      </c>
      <c r="D278" s="1">
        <v>69689</v>
      </c>
      <c r="S278" t="s">
        <v>8</v>
      </c>
      <c r="T278" t="s">
        <v>9</v>
      </c>
    </row>
    <row r="279" spans="1:22" x14ac:dyDescent="0.3">
      <c r="A279">
        <v>6</v>
      </c>
      <c r="C279" t="s">
        <v>17</v>
      </c>
      <c r="D279" s="1">
        <v>740006</v>
      </c>
      <c r="S279" t="s">
        <v>10</v>
      </c>
      <c r="T279">
        <v>380</v>
      </c>
      <c r="U279" t="s">
        <v>11</v>
      </c>
    </row>
    <row r="280" spans="1:22" x14ac:dyDescent="0.3">
      <c r="S280" t="s">
        <v>12</v>
      </c>
      <c r="T280">
        <v>22000</v>
      </c>
      <c r="U280" t="s">
        <v>38</v>
      </c>
    </row>
    <row r="281" spans="1:22" x14ac:dyDescent="0.3">
      <c r="A281" t="s">
        <v>0</v>
      </c>
      <c r="B281" t="s">
        <v>1</v>
      </c>
      <c r="S281" t="s">
        <v>14</v>
      </c>
      <c r="T281">
        <v>2010000000</v>
      </c>
      <c r="U281" t="s">
        <v>6</v>
      </c>
    </row>
    <row r="282" spans="1:22" x14ac:dyDescent="0.3">
      <c r="A282" t="s">
        <v>2</v>
      </c>
      <c r="B282">
        <v>1200</v>
      </c>
    </row>
    <row r="283" spans="1:22" x14ac:dyDescent="0.3">
      <c r="A283" t="s">
        <v>3</v>
      </c>
      <c r="B283" t="s">
        <v>4</v>
      </c>
      <c r="V283">
        <v>17</v>
      </c>
    </row>
    <row r="284" spans="1:22" x14ac:dyDescent="0.3">
      <c r="A284" t="s">
        <v>5</v>
      </c>
      <c r="B284" t="s">
        <v>6</v>
      </c>
      <c r="C284" t="s">
        <v>7</v>
      </c>
      <c r="V284" t="s">
        <v>15</v>
      </c>
    </row>
    <row r="285" spans="1:22" x14ac:dyDescent="0.3">
      <c r="A285" t="s">
        <v>8</v>
      </c>
      <c r="B285" t="s">
        <v>9</v>
      </c>
      <c r="S285">
        <v>0</v>
      </c>
      <c r="U285" t="s">
        <v>67</v>
      </c>
      <c r="V285" s="1">
        <v>1813657</v>
      </c>
    </row>
    <row r="286" spans="1:22" x14ac:dyDescent="0.3">
      <c r="A286" t="s">
        <v>10</v>
      </c>
      <c r="B286">
        <v>380</v>
      </c>
      <c r="C286" t="s">
        <v>11</v>
      </c>
    </row>
    <row r="287" spans="1:22" x14ac:dyDescent="0.3">
      <c r="A287" t="s">
        <v>12</v>
      </c>
      <c r="B287">
        <v>21000</v>
      </c>
      <c r="C287" t="s">
        <v>37</v>
      </c>
      <c r="S287" t="s">
        <v>0</v>
      </c>
      <c r="T287" t="s">
        <v>1</v>
      </c>
    </row>
    <row r="288" spans="1:22" x14ac:dyDescent="0.3">
      <c r="A288" t="s">
        <v>14</v>
      </c>
      <c r="B288">
        <v>2010000000</v>
      </c>
      <c r="C288" t="s">
        <v>6</v>
      </c>
      <c r="S288" t="s">
        <v>2</v>
      </c>
      <c r="T288">
        <v>1200</v>
      </c>
    </row>
    <row r="289" spans="1:22" x14ac:dyDescent="0.3">
      <c r="S289" t="s">
        <v>3</v>
      </c>
      <c r="T289" t="s">
        <v>4</v>
      </c>
    </row>
    <row r="290" spans="1:22" x14ac:dyDescent="0.3">
      <c r="D290">
        <v>17</v>
      </c>
      <c r="S290" t="s">
        <v>5</v>
      </c>
      <c r="T290" t="s">
        <v>6</v>
      </c>
      <c r="U290" t="s">
        <v>7</v>
      </c>
    </row>
    <row r="291" spans="1:22" x14ac:dyDescent="0.3">
      <c r="D291" t="s">
        <v>15</v>
      </c>
      <c r="S291" t="s">
        <v>8</v>
      </c>
      <c r="T291" t="s">
        <v>9</v>
      </c>
    </row>
    <row r="292" spans="1:22" x14ac:dyDescent="0.3">
      <c r="A292">
        <v>3</v>
      </c>
      <c r="C292" t="s">
        <v>16</v>
      </c>
      <c r="D292" s="1">
        <v>102016</v>
      </c>
      <c r="S292" t="s">
        <v>10</v>
      </c>
      <c r="T292">
        <v>380</v>
      </c>
      <c r="U292" t="s">
        <v>11</v>
      </c>
    </row>
    <row r="293" spans="1:22" x14ac:dyDescent="0.3">
      <c r="A293">
        <v>6</v>
      </c>
      <c r="C293" t="s">
        <v>17</v>
      </c>
      <c r="D293" s="1">
        <v>705792</v>
      </c>
      <c r="S293" t="s">
        <v>12</v>
      </c>
      <c r="T293">
        <v>23000</v>
      </c>
      <c r="U293" t="s">
        <v>39</v>
      </c>
    </row>
    <row r="294" spans="1:22" x14ac:dyDescent="0.3">
      <c r="S294" t="s">
        <v>14</v>
      </c>
      <c r="T294">
        <v>2010000000</v>
      </c>
      <c r="U294" t="s">
        <v>6</v>
      </c>
    </row>
    <row r="295" spans="1:22" x14ac:dyDescent="0.3">
      <c r="A295" t="s">
        <v>0</v>
      </c>
      <c r="B295" t="s">
        <v>1</v>
      </c>
    </row>
    <row r="296" spans="1:22" x14ac:dyDescent="0.3">
      <c r="A296" t="s">
        <v>2</v>
      </c>
      <c r="B296">
        <v>1200</v>
      </c>
      <c r="V296">
        <v>17</v>
      </c>
    </row>
    <row r="297" spans="1:22" x14ac:dyDescent="0.3">
      <c r="A297" t="s">
        <v>3</v>
      </c>
      <c r="B297" t="s">
        <v>4</v>
      </c>
      <c r="V297" t="s">
        <v>15</v>
      </c>
    </row>
    <row r="298" spans="1:22" x14ac:dyDescent="0.3">
      <c r="A298" t="s">
        <v>5</v>
      </c>
      <c r="B298" t="s">
        <v>6</v>
      </c>
      <c r="C298" t="s">
        <v>7</v>
      </c>
      <c r="S298">
        <v>0</v>
      </c>
      <c r="U298" t="s">
        <v>67</v>
      </c>
      <c r="V298" s="1">
        <v>3600416</v>
      </c>
    </row>
    <row r="299" spans="1:22" x14ac:dyDescent="0.3">
      <c r="A299" t="s">
        <v>8</v>
      </c>
      <c r="B299" t="s">
        <v>9</v>
      </c>
    </row>
    <row r="300" spans="1:22" x14ac:dyDescent="0.3">
      <c r="A300" t="s">
        <v>10</v>
      </c>
      <c r="B300">
        <v>380</v>
      </c>
      <c r="C300" t="s">
        <v>11</v>
      </c>
      <c r="S300" t="s">
        <v>0</v>
      </c>
      <c r="T300" t="s">
        <v>1</v>
      </c>
    </row>
    <row r="301" spans="1:22" x14ac:dyDescent="0.3">
      <c r="A301" t="s">
        <v>12</v>
      </c>
      <c r="B301">
        <v>22000</v>
      </c>
      <c r="C301" t="s">
        <v>38</v>
      </c>
      <c r="S301" t="s">
        <v>2</v>
      </c>
      <c r="T301">
        <v>1200</v>
      </c>
    </row>
    <row r="302" spans="1:22" x14ac:dyDescent="0.3">
      <c r="A302" t="s">
        <v>14</v>
      </c>
      <c r="B302">
        <v>2010000000</v>
      </c>
      <c r="C302" t="s">
        <v>6</v>
      </c>
      <c r="S302" t="s">
        <v>3</v>
      </c>
      <c r="T302" t="s">
        <v>4</v>
      </c>
    </row>
    <row r="303" spans="1:22" x14ac:dyDescent="0.3">
      <c r="S303" t="s">
        <v>5</v>
      </c>
      <c r="T303" t="s">
        <v>6</v>
      </c>
      <c r="U303" t="s">
        <v>7</v>
      </c>
    </row>
    <row r="304" spans="1:22" x14ac:dyDescent="0.3">
      <c r="D304">
        <v>17</v>
      </c>
      <c r="S304" t="s">
        <v>8</v>
      </c>
      <c r="T304" t="s">
        <v>9</v>
      </c>
    </row>
    <row r="305" spans="1:22" x14ac:dyDescent="0.3">
      <c r="D305" t="s">
        <v>15</v>
      </c>
      <c r="S305" t="s">
        <v>10</v>
      </c>
      <c r="T305">
        <v>380</v>
      </c>
      <c r="U305" t="s">
        <v>11</v>
      </c>
    </row>
    <row r="306" spans="1:22" x14ac:dyDescent="0.3">
      <c r="A306">
        <v>3</v>
      </c>
      <c r="C306" t="s">
        <v>16</v>
      </c>
      <c r="D306" s="1">
        <v>151217</v>
      </c>
      <c r="S306" t="s">
        <v>12</v>
      </c>
      <c r="T306">
        <v>24000</v>
      </c>
      <c r="U306" t="s">
        <v>40</v>
      </c>
    </row>
    <row r="307" spans="1:22" x14ac:dyDescent="0.3">
      <c r="A307">
        <v>6</v>
      </c>
      <c r="C307" t="s">
        <v>17</v>
      </c>
      <c r="D307" s="1">
        <v>1179771</v>
      </c>
      <c r="S307" t="s">
        <v>14</v>
      </c>
      <c r="T307">
        <v>2010000000</v>
      </c>
      <c r="U307" t="s">
        <v>6</v>
      </c>
    </row>
    <row r="309" spans="1:22" x14ac:dyDescent="0.3">
      <c r="A309" t="s">
        <v>0</v>
      </c>
      <c r="B309" t="s">
        <v>1</v>
      </c>
      <c r="V309">
        <v>17</v>
      </c>
    </row>
    <row r="310" spans="1:22" x14ac:dyDescent="0.3">
      <c r="A310" t="s">
        <v>2</v>
      </c>
      <c r="B310">
        <v>1200</v>
      </c>
      <c r="V310" t="s">
        <v>15</v>
      </c>
    </row>
    <row r="311" spans="1:22" x14ac:dyDescent="0.3">
      <c r="A311" t="s">
        <v>3</v>
      </c>
      <c r="B311" t="s">
        <v>4</v>
      </c>
      <c r="S311">
        <v>0</v>
      </c>
      <c r="U311" t="s">
        <v>67</v>
      </c>
      <c r="V311" s="1">
        <v>877636</v>
      </c>
    </row>
    <row r="312" spans="1:22" x14ac:dyDescent="0.3">
      <c r="A312" t="s">
        <v>5</v>
      </c>
      <c r="B312" t="s">
        <v>6</v>
      </c>
      <c r="C312" t="s">
        <v>7</v>
      </c>
    </row>
    <row r="313" spans="1:22" x14ac:dyDescent="0.3">
      <c r="A313" t="s">
        <v>8</v>
      </c>
      <c r="B313" t="s">
        <v>9</v>
      </c>
      <c r="S313" t="s">
        <v>0</v>
      </c>
      <c r="T313" t="s">
        <v>1</v>
      </c>
    </row>
    <row r="314" spans="1:22" x14ac:dyDescent="0.3">
      <c r="A314" t="s">
        <v>10</v>
      </c>
      <c r="B314">
        <v>380</v>
      </c>
      <c r="C314" t="s">
        <v>11</v>
      </c>
      <c r="S314" t="s">
        <v>2</v>
      </c>
      <c r="T314">
        <v>1200</v>
      </c>
    </row>
    <row r="315" spans="1:22" x14ac:dyDescent="0.3">
      <c r="A315" t="s">
        <v>12</v>
      </c>
      <c r="B315">
        <v>23000</v>
      </c>
      <c r="C315" t="s">
        <v>39</v>
      </c>
      <c r="S315" t="s">
        <v>3</v>
      </c>
      <c r="T315" t="s">
        <v>4</v>
      </c>
    </row>
    <row r="316" spans="1:22" x14ac:dyDescent="0.3">
      <c r="A316" t="s">
        <v>14</v>
      </c>
      <c r="B316">
        <v>2010000000</v>
      </c>
      <c r="C316" t="s">
        <v>6</v>
      </c>
      <c r="S316" t="s">
        <v>5</v>
      </c>
      <c r="T316" t="s">
        <v>6</v>
      </c>
      <c r="U316" t="s">
        <v>7</v>
      </c>
    </row>
    <row r="317" spans="1:22" x14ac:dyDescent="0.3">
      <c r="S317" t="s">
        <v>8</v>
      </c>
      <c r="T317" t="s">
        <v>9</v>
      </c>
    </row>
    <row r="318" spans="1:22" x14ac:dyDescent="0.3">
      <c r="D318">
        <v>17</v>
      </c>
      <c r="S318" t="s">
        <v>10</v>
      </c>
      <c r="T318">
        <v>380</v>
      </c>
      <c r="U318" t="s">
        <v>11</v>
      </c>
    </row>
    <row r="319" spans="1:22" x14ac:dyDescent="0.3">
      <c r="D319" t="s">
        <v>15</v>
      </c>
      <c r="S319" t="s">
        <v>12</v>
      </c>
      <c r="T319">
        <v>25000</v>
      </c>
      <c r="U319" t="s">
        <v>41</v>
      </c>
    </row>
    <row r="320" spans="1:22" x14ac:dyDescent="0.3">
      <c r="A320">
        <v>3</v>
      </c>
      <c r="C320" t="s">
        <v>16</v>
      </c>
      <c r="D320" s="1">
        <v>764793</v>
      </c>
      <c r="S320" t="s">
        <v>14</v>
      </c>
      <c r="T320">
        <v>2010000000</v>
      </c>
      <c r="U320" t="s">
        <v>6</v>
      </c>
    </row>
    <row r="321" spans="1:22" x14ac:dyDescent="0.3">
      <c r="A321">
        <v>6</v>
      </c>
      <c r="C321" t="s">
        <v>17</v>
      </c>
      <c r="D321" s="1">
        <v>1926794</v>
      </c>
    </row>
    <row r="322" spans="1:22" x14ac:dyDescent="0.3">
      <c r="V322">
        <v>17</v>
      </c>
    </row>
    <row r="323" spans="1:22" x14ac:dyDescent="0.3">
      <c r="A323" t="s">
        <v>0</v>
      </c>
      <c r="B323" t="s">
        <v>1</v>
      </c>
      <c r="V323" t="s">
        <v>15</v>
      </c>
    </row>
    <row r="324" spans="1:22" x14ac:dyDescent="0.3">
      <c r="A324" t="s">
        <v>2</v>
      </c>
      <c r="B324">
        <v>1200</v>
      </c>
      <c r="S324">
        <v>0</v>
      </c>
      <c r="U324" t="s">
        <v>67</v>
      </c>
      <c r="V324" s="1">
        <v>682772</v>
      </c>
    </row>
    <row r="325" spans="1:22" x14ac:dyDescent="0.3">
      <c r="A325" t="s">
        <v>3</v>
      </c>
      <c r="B325" t="s">
        <v>4</v>
      </c>
    </row>
    <row r="326" spans="1:22" x14ac:dyDescent="0.3">
      <c r="A326" t="s">
        <v>5</v>
      </c>
      <c r="B326" t="s">
        <v>6</v>
      </c>
      <c r="C326" t="s">
        <v>7</v>
      </c>
      <c r="S326" t="s">
        <v>0</v>
      </c>
      <c r="T326" t="s">
        <v>1</v>
      </c>
    </row>
    <row r="327" spans="1:22" x14ac:dyDescent="0.3">
      <c r="A327" t="s">
        <v>8</v>
      </c>
      <c r="B327" t="s">
        <v>9</v>
      </c>
      <c r="S327" t="s">
        <v>2</v>
      </c>
      <c r="T327">
        <v>1200</v>
      </c>
    </row>
    <row r="328" spans="1:22" x14ac:dyDescent="0.3">
      <c r="A328" t="s">
        <v>10</v>
      </c>
      <c r="B328">
        <v>380</v>
      </c>
      <c r="C328" t="s">
        <v>11</v>
      </c>
      <c r="S328" t="s">
        <v>3</v>
      </c>
      <c r="T328" t="s">
        <v>4</v>
      </c>
    </row>
    <row r="329" spans="1:22" x14ac:dyDescent="0.3">
      <c r="A329" t="s">
        <v>12</v>
      </c>
      <c r="B329">
        <v>24000</v>
      </c>
      <c r="C329" t="s">
        <v>40</v>
      </c>
      <c r="S329" t="s">
        <v>5</v>
      </c>
      <c r="T329" t="s">
        <v>6</v>
      </c>
      <c r="U329" t="s">
        <v>7</v>
      </c>
    </row>
    <row r="330" spans="1:22" x14ac:dyDescent="0.3">
      <c r="A330" t="s">
        <v>14</v>
      </c>
      <c r="B330">
        <v>2010000000</v>
      </c>
      <c r="C330" t="s">
        <v>6</v>
      </c>
      <c r="S330" t="s">
        <v>8</v>
      </c>
      <c r="T330" t="s">
        <v>9</v>
      </c>
    </row>
    <row r="331" spans="1:22" x14ac:dyDescent="0.3">
      <c r="S331" t="s">
        <v>10</v>
      </c>
      <c r="T331">
        <v>380</v>
      </c>
      <c r="U331" t="s">
        <v>11</v>
      </c>
    </row>
    <row r="332" spans="1:22" x14ac:dyDescent="0.3">
      <c r="D332">
        <v>17</v>
      </c>
      <c r="S332" t="s">
        <v>12</v>
      </c>
      <c r="T332">
        <v>26000</v>
      </c>
      <c r="U332" t="s">
        <v>42</v>
      </c>
    </row>
    <row r="333" spans="1:22" x14ac:dyDescent="0.3">
      <c r="D333" t="s">
        <v>15</v>
      </c>
      <c r="S333" t="s">
        <v>14</v>
      </c>
      <c r="T333">
        <v>2010000000</v>
      </c>
      <c r="U333" t="s">
        <v>6</v>
      </c>
    </row>
    <row r="334" spans="1:22" x14ac:dyDescent="0.3">
      <c r="A334">
        <v>3</v>
      </c>
      <c r="C334" t="s">
        <v>16</v>
      </c>
      <c r="D334" s="1">
        <v>104658</v>
      </c>
    </row>
    <row r="335" spans="1:22" x14ac:dyDescent="0.3">
      <c r="A335">
        <v>6</v>
      </c>
      <c r="C335" t="s">
        <v>17</v>
      </c>
      <c r="D335" s="1">
        <v>608360</v>
      </c>
      <c r="V335">
        <v>17</v>
      </c>
    </row>
    <row r="336" spans="1:22" x14ac:dyDescent="0.3">
      <c r="V336" t="s">
        <v>15</v>
      </c>
    </row>
    <row r="337" spans="1:22" x14ac:dyDescent="0.3">
      <c r="A337" t="s">
        <v>0</v>
      </c>
      <c r="B337" t="s">
        <v>1</v>
      </c>
      <c r="S337">
        <v>0</v>
      </c>
      <c r="U337" t="s">
        <v>67</v>
      </c>
      <c r="V337" s="1">
        <v>1198449</v>
      </c>
    </row>
    <row r="338" spans="1:22" x14ac:dyDescent="0.3">
      <c r="A338" t="s">
        <v>2</v>
      </c>
      <c r="B338">
        <v>1200</v>
      </c>
    </row>
    <row r="339" spans="1:22" x14ac:dyDescent="0.3">
      <c r="A339" t="s">
        <v>3</v>
      </c>
      <c r="B339" t="s">
        <v>4</v>
      </c>
      <c r="S339" t="s">
        <v>0</v>
      </c>
      <c r="T339" t="s">
        <v>1</v>
      </c>
    </row>
    <row r="340" spans="1:22" x14ac:dyDescent="0.3">
      <c r="A340" t="s">
        <v>5</v>
      </c>
      <c r="B340" t="s">
        <v>6</v>
      </c>
      <c r="C340" t="s">
        <v>7</v>
      </c>
      <c r="S340" t="s">
        <v>2</v>
      </c>
      <c r="T340">
        <v>1200</v>
      </c>
    </row>
    <row r="341" spans="1:22" x14ac:dyDescent="0.3">
      <c r="A341" t="s">
        <v>8</v>
      </c>
      <c r="B341" t="s">
        <v>9</v>
      </c>
      <c r="S341" t="s">
        <v>3</v>
      </c>
      <c r="T341" t="s">
        <v>4</v>
      </c>
    </row>
    <row r="342" spans="1:22" x14ac:dyDescent="0.3">
      <c r="A342" t="s">
        <v>10</v>
      </c>
      <c r="B342">
        <v>380</v>
      </c>
      <c r="C342" t="s">
        <v>11</v>
      </c>
      <c r="S342" t="s">
        <v>5</v>
      </c>
      <c r="T342" t="s">
        <v>6</v>
      </c>
      <c r="U342" t="s">
        <v>7</v>
      </c>
    </row>
    <row r="343" spans="1:22" x14ac:dyDescent="0.3">
      <c r="A343" t="s">
        <v>12</v>
      </c>
      <c r="B343">
        <v>25000</v>
      </c>
      <c r="C343" t="s">
        <v>41</v>
      </c>
      <c r="S343" t="s">
        <v>8</v>
      </c>
      <c r="T343" t="s">
        <v>9</v>
      </c>
    </row>
    <row r="344" spans="1:22" x14ac:dyDescent="0.3">
      <c r="A344" t="s">
        <v>14</v>
      </c>
      <c r="B344">
        <v>2010000000</v>
      </c>
      <c r="C344" t="s">
        <v>6</v>
      </c>
      <c r="S344" t="s">
        <v>10</v>
      </c>
      <c r="T344">
        <v>380</v>
      </c>
      <c r="U344" t="s">
        <v>11</v>
      </c>
    </row>
    <row r="345" spans="1:22" x14ac:dyDescent="0.3">
      <c r="S345" t="s">
        <v>12</v>
      </c>
      <c r="T345">
        <v>27000</v>
      </c>
      <c r="U345" t="s">
        <v>43</v>
      </c>
    </row>
    <row r="346" spans="1:22" x14ac:dyDescent="0.3">
      <c r="D346">
        <v>17</v>
      </c>
      <c r="S346" t="s">
        <v>14</v>
      </c>
      <c r="T346">
        <v>2010000000</v>
      </c>
      <c r="U346" t="s">
        <v>6</v>
      </c>
    </row>
    <row r="347" spans="1:22" x14ac:dyDescent="0.3">
      <c r="D347" t="s">
        <v>15</v>
      </c>
    </row>
    <row r="348" spans="1:22" x14ac:dyDescent="0.3">
      <c r="A348">
        <v>3</v>
      </c>
      <c r="C348" t="s">
        <v>16</v>
      </c>
      <c r="D348" s="1">
        <v>145072</v>
      </c>
      <c r="V348">
        <v>17</v>
      </c>
    </row>
    <row r="349" spans="1:22" x14ac:dyDescent="0.3">
      <c r="A349">
        <v>6</v>
      </c>
      <c r="C349" t="s">
        <v>17</v>
      </c>
      <c r="D349" s="1">
        <v>399816</v>
      </c>
      <c r="V349" t="s">
        <v>15</v>
      </c>
    </row>
    <row r="350" spans="1:22" x14ac:dyDescent="0.3">
      <c r="S350">
        <v>0</v>
      </c>
      <c r="U350" t="s">
        <v>67</v>
      </c>
      <c r="V350" s="1">
        <v>3887509</v>
      </c>
    </row>
    <row r="351" spans="1:22" x14ac:dyDescent="0.3">
      <c r="A351" t="s">
        <v>0</v>
      </c>
      <c r="B351" t="s">
        <v>1</v>
      </c>
    </row>
    <row r="352" spans="1:22" x14ac:dyDescent="0.3">
      <c r="A352" t="s">
        <v>2</v>
      </c>
      <c r="B352">
        <v>1200</v>
      </c>
      <c r="S352" t="s">
        <v>0</v>
      </c>
      <c r="T352" t="s">
        <v>1</v>
      </c>
    </row>
    <row r="353" spans="1:22" x14ac:dyDescent="0.3">
      <c r="A353" t="s">
        <v>3</v>
      </c>
      <c r="B353" t="s">
        <v>4</v>
      </c>
      <c r="S353" t="s">
        <v>2</v>
      </c>
      <c r="T353">
        <v>1200</v>
      </c>
    </row>
    <row r="354" spans="1:22" x14ac:dyDescent="0.3">
      <c r="A354" t="s">
        <v>5</v>
      </c>
      <c r="B354" t="s">
        <v>6</v>
      </c>
      <c r="C354" t="s">
        <v>7</v>
      </c>
      <c r="S354" t="s">
        <v>3</v>
      </c>
      <c r="T354" t="s">
        <v>4</v>
      </c>
    </row>
    <row r="355" spans="1:22" x14ac:dyDescent="0.3">
      <c r="A355" t="s">
        <v>8</v>
      </c>
      <c r="B355" t="s">
        <v>9</v>
      </c>
      <c r="S355" t="s">
        <v>5</v>
      </c>
      <c r="T355" t="s">
        <v>6</v>
      </c>
      <c r="U355" t="s">
        <v>7</v>
      </c>
    </row>
    <row r="356" spans="1:22" x14ac:dyDescent="0.3">
      <c r="A356" t="s">
        <v>10</v>
      </c>
      <c r="B356">
        <v>380</v>
      </c>
      <c r="C356" t="s">
        <v>11</v>
      </c>
      <c r="S356" t="s">
        <v>8</v>
      </c>
      <c r="T356" t="s">
        <v>9</v>
      </c>
    </row>
    <row r="357" spans="1:22" x14ac:dyDescent="0.3">
      <c r="A357" t="s">
        <v>12</v>
      </c>
      <c r="B357">
        <v>26000</v>
      </c>
      <c r="C357" t="s">
        <v>42</v>
      </c>
      <c r="S357" t="s">
        <v>10</v>
      </c>
      <c r="T357">
        <v>380</v>
      </c>
      <c r="U357" t="s">
        <v>11</v>
      </c>
    </row>
    <row r="358" spans="1:22" x14ac:dyDescent="0.3">
      <c r="A358" t="s">
        <v>14</v>
      </c>
      <c r="B358">
        <v>2010000000</v>
      </c>
      <c r="C358" t="s">
        <v>6</v>
      </c>
      <c r="S358" t="s">
        <v>12</v>
      </c>
      <c r="T358">
        <v>28000</v>
      </c>
      <c r="U358" t="s">
        <v>44</v>
      </c>
    </row>
    <row r="359" spans="1:22" x14ac:dyDescent="0.3">
      <c r="S359" t="s">
        <v>14</v>
      </c>
      <c r="T359">
        <v>2010000000</v>
      </c>
      <c r="U359" t="s">
        <v>6</v>
      </c>
    </row>
    <row r="360" spans="1:22" x14ac:dyDescent="0.3">
      <c r="D360">
        <v>17</v>
      </c>
    </row>
    <row r="361" spans="1:22" x14ac:dyDescent="0.3">
      <c r="D361" t="s">
        <v>15</v>
      </c>
      <c r="V361">
        <v>17</v>
      </c>
    </row>
    <row r="362" spans="1:22" x14ac:dyDescent="0.3">
      <c r="A362">
        <v>3</v>
      </c>
      <c r="C362" t="s">
        <v>16</v>
      </c>
      <c r="D362" s="1">
        <v>328133</v>
      </c>
      <c r="V362" t="s">
        <v>15</v>
      </c>
    </row>
    <row r="363" spans="1:22" x14ac:dyDescent="0.3">
      <c r="A363">
        <v>6</v>
      </c>
      <c r="C363" t="s">
        <v>17</v>
      </c>
      <c r="D363" s="1">
        <v>366421</v>
      </c>
      <c r="S363">
        <v>0</v>
      </c>
      <c r="U363" t="s">
        <v>67</v>
      </c>
      <c r="V363" s="1">
        <v>2548723</v>
      </c>
    </row>
    <row r="365" spans="1:22" x14ac:dyDescent="0.3">
      <c r="A365" t="s">
        <v>0</v>
      </c>
      <c r="B365" t="s">
        <v>1</v>
      </c>
      <c r="S365" t="s">
        <v>0</v>
      </c>
      <c r="T365" t="s">
        <v>1</v>
      </c>
    </row>
    <row r="366" spans="1:22" x14ac:dyDescent="0.3">
      <c r="A366" t="s">
        <v>2</v>
      </c>
      <c r="B366">
        <v>1200</v>
      </c>
      <c r="S366" t="s">
        <v>2</v>
      </c>
      <c r="T366">
        <v>1200</v>
      </c>
    </row>
    <row r="367" spans="1:22" x14ac:dyDescent="0.3">
      <c r="A367" t="s">
        <v>3</v>
      </c>
      <c r="B367" t="s">
        <v>4</v>
      </c>
      <c r="S367" t="s">
        <v>3</v>
      </c>
      <c r="T367" t="s">
        <v>4</v>
      </c>
    </row>
    <row r="368" spans="1:22" x14ac:dyDescent="0.3">
      <c r="A368" t="s">
        <v>5</v>
      </c>
      <c r="B368" t="s">
        <v>6</v>
      </c>
      <c r="C368" t="s">
        <v>7</v>
      </c>
      <c r="S368" t="s">
        <v>5</v>
      </c>
      <c r="T368" t="s">
        <v>6</v>
      </c>
      <c r="U368" t="s">
        <v>7</v>
      </c>
    </row>
    <row r="369" spans="1:22" x14ac:dyDescent="0.3">
      <c r="A369" t="s">
        <v>8</v>
      </c>
      <c r="B369" t="s">
        <v>9</v>
      </c>
      <c r="S369" t="s">
        <v>8</v>
      </c>
      <c r="T369" t="s">
        <v>9</v>
      </c>
    </row>
    <row r="370" spans="1:22" x14ac:dyDescent="0.3">
      <c r="A370" t="s">
        <v>10</v>
      </c>
      <c r="B370">
        <v>380</v>
      </c>
      <c r="C370" t="s">
        <v>11</v>
      </c>
      <c r="S370" t="s">
        <v>10</v>
      </c>
      <c r="T370">
        <v>380</v>
      </c>
      <c r="U370" t="s">
        <v>11</v>
      </c>
    </row>
    <row r="371" spans="1:22" x14ac:dyDescent="0.3">
      <c r="A371" t="s">
        <v>12</v>
      </c>
      <c r="B371">
        <v>27000</v>
      </c>
      <c r="C371" t="s">
        <v>43</v>
      </c>
      <c r="S371" t="s">
        <v>12</v>
      </c>
      <c r="T371">
        <v>29000</v>
      </c>
      <c r="U371" t="s">
        <v>45</v>
      </c>
    </row>
    <row r="372" spans="1:22" x14ac:dyDescent="0.3">
      <c r="A372" t="s">
        <v>14</v>
      </c>
      <c r="B372">
        <v>2010000000</v>
      </c>
      <c r="C372" t="s">
        <v>6</v>
      </c>
      <c r="S372" t="s">
        <v>14</v>
      </c>
      <c r="T372">
        <v>2010000000</v>
      </c>
      <c r="U372" t="s">
        <v>6</v>
      </c>
    </row>
    <row r="374" spans="1:22" x14ac:dyDescent="0.3">
      <c r="D374">
        <v>17</v>
      </c>
      <c r="V374">
        <v>17</v>
      </c>
    </row>
    <row r="375" spans="1:22" x14ac:dyDescent="0.3">
      <c r="D375" t="s">
        <v>15</v>
      </c>
      <c r="V375" t="s">
        <v>15</v>
      </c>
    </row>
    <row r="376" spans="1:22" x14ac:dyDescent="0.3">
      <c r="A376">
        <v>3</v>
      </c>
      <c r="C376" t="s">
        <v>16</v>
      </c>
      <c r="D376" s="1">
        <v>1568566</v>
      </c>
      <c r="S376">
        <v>0</v>
      </c>
      <c r="U376" t="s">
        <v>67</v>
      </c>
      <c r="V376" s="1">
        <v>616620</v>
      </c>
    </row>
    <row r="377" spans="1:22" x14ac:dyDescent="0.3">
      <c r="A377">
        <v>6</v>
      </c>
      <c r="C377" t="s">
        <v>17</v>
      </c>
      <c r="D377" s="1">
        <v>779645</v>
      </c>
    </row>
    <row r="378" spans="1:22" x14ac:dyDescent="0.3">
      <c r="S378" t="s">
        <v>0</v>
      </c>
      <c r="T378" t="s">
        <v>1</v>
      </c>
    </row>
    <row r="379" spans="1:22" x14ac:dyDescent="0.3">
      <c r="A379" t="s">
        <v>0</v>
      </c>
      <c r="B379" t="s">
        <v>1</v>
      </c>
      <c r="S379" t="s">
        <v>2</v>
      </c>
      <c r="T379">
        <v>1200</v>
      </c>
    </row>
    <row r="380" spans="1:22" x14ac:dyDescent="0.3">
      <c r="A380" t="s">
        <v>2</v>
      </c>
      <c r="B380">
        <v>1200</v>
      </c>
      <c r="S380" t="s">
        <v>3</v>
      </c>
      <c r="T380" t="s">
        <v>4</v>
      </c>
    </row>
    <row r="381" spans="1:22" x14ac:dyDescent="0.3">
      <c r="A381" t="s">
        <v>3</v>
      </c>
      <c r="B381" t="s">
        <v>4</v>
      </c>
      <c r="S381" t="s">
        <v>5</v>
      </c>
      <c r="T381" t="s">
        <v>6</v>
      </c>
      <c r="U381" t="s">
        <v>7</v>
      </c>
    </row>
    <row r="382" spans="1:22" x14ac:dyDescent="0.3">
      <c r="A382" t="s">
        <v>5</v>
      </c>
      <c r="B382" t="s">
        <v>6</v>
      </c>
      <c r="C382" t="s">
        <v>7</v>
      </c>
      <c r="S382" t="s">
        <v>8</v>
      </c>
      <c r="T382" t="s">
        <v>9</v>
      </c>
    </row>
    <row r="383" spans="1:22" x14ac:dyDescent="0.3">
      <c r="A383" t="s">
        <v>8</v>
      </c>
      <c r="B383" t="s">
        <v>9</v>
      </c>
      <c r="S383" t="s">
        <v>10</v>
      </c>
      <c r="T383">
        <v>380</v>
      </c>
      <c r="U383" t="s">
        <v>11</v>
      </c>
    </row>
    <row r="384" spans="1:22" x14ac:dyDescent="0.3">
      <c r="A384" t="s">
        <v>10</v>
      </c>
      <c r="B384">
        <v>380</v>
      </c>
      <c r="C384" t="s">
        <v>11</v>
      </c>
      <c r="S384" t="s">
        <v>12</v>
      </c>
      <c r="T384">
        <v>30000</v>
      </c>
      <c r="U384" t="s">
        <v>46</v>
      </c>
    </row>
    <row r="385" spans="1:22" x14ac:dyDescent="0.3">
      <c r="A385" t="s">
        <v>12</v>
      </c>
      <c r="B385">
        <v>28000</v>
      </c>
      <c r="C385" t="s">
        <v>44</v>
      </c>
      <c r="S385" t="s">
        <v>14</v>
      </c>
      <c r="T385">
        <v>2010000000</v>
      </c>
      <c r="U385" t="s">
        <v>6</v>
      </c>
    </row>
    <row r="386" spans="1:22" x14ac:dyDescent="0.3">
      <c r="A386" t="s">
        <v>14</v>
      </c>
      <c r="B386">
        <v>2010000000</v>
      </c>
      <c r="C386" t="s">
        <v>6</v>
      </c>
    </row>
    <row r="387" spans="1:22" x14ac:dyDescent="0.3">
      <c r="V387">
        <v>17</v>
      </c>
    </row>
    <row r="388" spans="1:22" x14ac:dyDescent="0.3">
      <c r="D388">
        <v>17</v>
      </c>
      <c r="V388" t="s">
        <v>15</v>
      </c>
    </row>
    <row r="389" spans="1:22" x14ac:dyDescent="0.3">
      <c r="D389" t="s">
        <v>15</v>
      </c>
      <c r="S389">
        <v>0</v>
      </c>
      <c r="U389" t="s">
        <v>67</v>
      </c>
      <c r="V389" s="1">
        <v>417165</v>
      </c>
    </row>
    <row r="390" spans="1:22" x14ac:dyDescent="0.3">
      <c r="A390">
        <v>3</v>
      </c>
      <c r="C390" t="s">
        <v>16</v>
      </c>
      <c r="D390" s="1">
        <v>869666</v>
      </c>
    </row>
    <row r="391" spans="1:22" x14ac:dyDescent="0.3">
      <c r="A391">
        <v>6</v>
      </c>
      <c r="C391" t="s">
        <v>17</v>
      </c>
      <c r="D391" s="1">
        <v>931777</v>
      </c>
      <c r="S391" t="s">
        <v>0</v>
      </c>
      <c r="T391" t="s">
        <v>1</v>
      </c>
    </row>
    <row r="392" spans="1:22" x14ac:dyDescent="0.3">
      <c r="S392" t="s">
        <v>2</v>
      </c>
      <c r="T392">
        <v>1200</v>
      </c>
    </row>
    <row r="393" spans="1:22" x14ac:dyDescent="0.3">
      <c r="A393" t="s">
        <v>0</v>
      </c>
      <c r="B393" t="s">
        <v>1</v>
      </c>
      <c r="S393" t="s">
        <v>3</v>
      </c>
      <c r="T393" t="s">
        <v>4</v>
      </c>
    </row>
    <row r="394" spans="1:22" x14ac:dyDescent="0.3">
      <c r="A394" t="s">
        <v>2</v>
      </c>
      <c r="B394">
        <v>1200</v>
      </c>
      <c r="S394" t="s">
        <v>5</v>
      </c>
      <c r="T394" t="s">
        <v>6</v>
      </c>
      <c r="U394" t="s">
        <v>7</v>
      </c>
    </row>
    <row r="395" spans="1:22" x14ac:dyDescent="0.3">
      <c r="A395" t="s">
        <v>3</v>
      </c>
      <c r="B395" t="s">
        <v>4</v>
      </c>
      <c r="S395" t="s">
        <v>8</v>
      </c>
      <c r="T395" t="s">
        <v>9</v>
      </c>
    </row>
    <row r="396" spans="1:22" x14ac:dyDescent="0.3">
      <c r="A396" t="s">
        <v>5</v>
      </c>
      <c r="B396" t="s">
        <v>6</v>
      </c>
      <c r="C396" t="s">
        <v>7</v>
      </c>
      <c r="S396" t="s">
        <v>10</v>
      </c>
      <c r="T396">
        <v>380</v>
      </c>
      <c r="U396" t="s">
        <v>11</v>
      </c>
    </row>
    <row r="397" spans="1:22" x14ac:dyDescent="0.3">
      <c r="A397" t="s">
        <v>8</v>
      </c>
      <c r="B397" t="s">
        <v>9</v>
      </c>
      <c r="S397" t="s">
        <v>12</v>
      </c>
      <c r="T397">
        <v>31000</v>
      </c>
      <c r="U397" t="s">
        <v>47</v>
      </c>
    </row>
    <row r="398" spans="1:22" x14ac:dyDescent="0.3">
      <c r="A398" t="s">
        <v>10</v>
      </c>
      <c r="B398">
        <v>380</v>
      </c>
      <c r="C398" t="s">
        <v>11</v>
      </c>
      <c r="S398" t="s">
        <v>14</v>
      </c>
      <c r="T398">
        <v>2010000000</v>
      </c>
      <c r="U398" t="s">
        <v>6</v>
      </c>
    </row>
    <row r="399" spans="1:22" x14ac:dyDescent="0.3">
      <c r="A399" t="s">
        <v>12</v>
      </c>
      <c r="B399">
        <v>29000</v>
      </c>
      <c r="C399" t="s">
        <v>45</v>
      </c>
    </row>
    <row r="400" spans="1:22" x14ac:dyDescent="0.3">
      <c r="A400" t="s">
        <v>14</v>
      </c>
      <c r="B400">
        <v>2010000000</v>
      </c>
      <c r="C400" t="s">
        <v>6</v>
      </c>
      <c r="V400">
        <v>17</v>
      </c>
    </row>
    <row r="401" spans="1:22" x14ac:dyDescent="0.3">
      <c r="V401" t="s">
        <v>15</v>
      </c>
    </row>
    <row r="402" spans="1:22" x14ac:dyDescent="0.3">
      <c r="D402">
        <v>17</v>
      </c>
      <c r="S402">
        <v>0</v>
      </c>
      <c r="U402" t="s">
        <v>67</v>
      </c>
      <c r="V402" s="1">
        <v>269809</v>
      </c>
    </row>
    <row r="403" spans="1:22" x14ac:dyDescent="0.3">
      <c r="D403" t="s">
        <v>15</v>
      </c>
    </row>
    <row r="404" spans="1:22" x14ac:dyDescent="0.3">
      <c r="A404">
        <v>3</v>
      </c>
      <c r="C404" t="s">
        <v>16</v>
      </c>
      <c r="D404" s="1">
        <v>239396</v>
      </c>
      <c r="S404" t="s">
        <v>0</v>
      </c>
      <c r="T404" t="s">
        <v>1</v>
      </c>
    </row>
    <row r="405" spans="1:22" x14ac:dyDescent="0.3">
      <c r="A405">
        <v>6</v>
      </c>
      <c r="C405" t="s">
        <v>17</v>
      </c>
      <c r="D405" s="1">
        <v>252393</v>
      </c>
      <c r="S405" t="s">
        <v>2</v>
      </c>
      <c r="T405">
        <v>1200</v>
      </c>
    </row>
    <row r="406" spans="1:22" x14ac:dyDescent="0.3">
      <c r="S406" t="s">
        <v>3</v>
      </c>
      <c r="T406" t="s">
        <v>4</v>
      </c>
    </row>
    <row r="407" spans="1:22" x14ac:dyDescent="0.3">
      <c r="A407" t="s">
        <v>0</v>
      </c>
      <c r="B407" t="s">
        <v>1</v>
      </c>
      <c r="S407" t="s">
        <v>5</v>
      </c>
      <c r="T407" t="s">
        <v>6</v>
      </c>
      <c r="U407" t="s">
        <v>7</v>
      </c>
    </row>
    <row r="408" spans="1:22" x14ac:dyDescent="0.3">
      <c r="A408" t="s">
        <v>2</v>
      </c>
      <c r="B408">
        <v>1200</v>
      </c>
      <c r="S408" t="s">
        <v>8</v>
      </c>
      <c r="T408" t="s">
        <v>9</v>
      </c>
    </row>
    <row r="409" spans="1:22" x14ac:dyDescent="0.3">
      <c r="A409" t="s">
        <v>3</v>
      </c>
      <c r="B409" t="s">
        <v>4</v>
      </c>
      <c r="S409" t="s">
        <v>10</v>
      </c>
      <c r="T409">
        <v>380</v>
      </c>
      <c r="U409" t="s">
        <v>11</v>
      </c>
    </row>
    <row r="410" spans="1:22" x14ac:dyDescent="0.3">
      <c r="A410" t="s">
        <v>5</v>
      </c>
      <c r="B410" t="s">
        <v>6</v>
      </c>
      <c r="C410" t="s">
        <v>7</v>
      </c>
      <c r="S410" t="s">
        <v>12</v>
      </c>
      <c r="T410">
        <v>32000</v>
      </c>
      <c r="U410" t="s">
        <v>48</v>
      </c>
    </row>
    <row r="411" spans="1:22" x14ac:dyDescent="0.3">
      <c r="A411" t="s">
        <v>8</v>
      </c>
      <c r="B411" t="s">
        <v>9</v>
      </c>
      <c r="S411" t="s">
        <v>14</v>
      </c>
      <c r="T411">
        <v>2010000000</v>
      </c>
      <c r="U411" t="s">
        <v>6</v>
      </c>
    </row>
    <row r="412" spans="1:22" x14ac:dyDescent="0.3">
      <c r="A412" t="s">
        <v>10</v>
      </c>
      <c r="B412">
        <v>380</v>
      </c>
      <c r="C412" t="s">
        <v>11</v>
      </c>
    </row>
    <row r="413" spans="1:22" x14ac:dyDescent="0.3">
      <c r="A413" t="s">
        <v>12</v>
      </c>
      <c r="B413">
        <v>30000</v>
      </c>
      <c r="C413" t="s">
        <v>46</v>
      </c>
      <c r="V413">
        <v>17</v>
      </c>
    </row>
    <row r="414" spans="1:22" x14ac:dyDescent="0.3">
      <c r="A414" t="s">
        <v>14</v>
      </c>
      <c r="B414">
        <v>2010000000</v>
      </c>
      <c r="C414" t="s">
        <v>6</v>
      </c>
      <c r="V414" t="s">
        <v>15</v>
      </c>
    </row>
    <row r="415" spans="1:22" x14ac:dyDescent="0.3">
      <c r="S415">
        <v>0</v>
      </c>
      <c r="U415" t="s">
        <v>67</v>
      </c>
      <c r="V415" s="1">
        <v>332257</v>
      </c>
    </row>
    <row r="416" spans="1:22" x14ac:dyDescent="0.3">
      <c r="D416">
        <v>17</v>
      </c>
    </row>
    <row r="417" spans="1:22" x14ac:dyDescent="0.3">
      <c r="D417" t="s">
        <v>15</v>
      </c>
      <c r="S417" t="s">
        <v>0</v>
      </c>
      <c r="T417" t="s">
        <v>1</v>
      </c>
    </row>
    <row r="418" spans="1:22" x14ac:dyDescent="0.3">
      <c r="A418">
        <v>3</v>
      </c>
      <c r="C418" t="s">
        <v>16</v>
      </c>
      <c r="D418" s="1">
        <v>45564</v>
      </c>
      <c r="S418" t="s">
        <v>2</v>
      </c>
      <c r="T418">
        <v>1200</v>
      </c>
    </row>
    <row r="419" spans="1:22" x14ac:dyDescent="0.3">
      <c r="A419">
        <v>6</v>
      </c>
      <c r="C419" t="s">
        <v>17</v>
      </c>
      <c r="D419" s="1">
        <v>253884</v>
      </c>
      <c r="S419" t="s">
        <v>3</v>
      </c>
      <c r="T419" t="s">
        <v>4</v>
      </c>
    </row>
    <row r="420" spans="1:22" x14ac:dyDescent="0.3">
      <c r="S420" t="s">
        <v>5</v>
      </c>
      <c r="T420" t="s">
        <v>6</v>
      </c>
      <c r="U420" t="s">
        <v>7</v>
      </c>
    </row>
    <row r="421" spans="1:22" x14ac:dyDescent="0.3">
      <c r="A421" t="s">
        <v>0</v>
      </c>
      <c r="B421" t="s">
        <v>1</v>
      </c>
      <c r="S421" t="s">
        <v>8</v>
      </c>
      <c r="T421" t="s">
        <v>9</v>
      </c>
    </row>
    <row r="422" spans="1:22" x14ac:dyDescent="0.3">
      <c r="A422" t="s">
        <v>2</v>
      </c>
      <c r="B422">
        <v>1200</v>
      </c>
      <c r="S422" t="s">
        <v>10</v>
      </c>
      <c r="T422">
        <v>380</v>
      </c>
      <c r="U422" t="s">
        <v>11</v>
      </c>
    </row>
    <row r="423" spans="1:22" x14ac:dyDescent="0.3">
      <c r="A423" t="s">
        <v>3</v>
      </c>
      <c r="B423" t="s">
        <v>4</v>
      </c>
      <c r="S423" t="s">
        <v>12</v>
      </c>
      <c r="T423">
        <v>33000</v>
      </c>
      <c r="U423" t="s">
        <v>49</v>
      </c>
    </row>
    <row r="424" spans="1:22" x14ac:dyDescent="0.3">
      <c r="A424" t="s">
        <v>5</v>
      </c>
      <c r="B424" t="s">
        <v>6</v>
      </c>
      <c r="C424" t="s">
        <v>7</v>
      </c>
      <c r="S424" t="s">
        <v>14</v>
      </c>
      <c r="T424">
        <v>2010000000</v>
      </c>
      <c r="U424" t="s">
        <v>6</v>
      </c>
    </row>
    <row r="425" spans="1:22" x14ac:dyDescent="0.3">
      <c r="A425" t="s">
        <v>8</v>
      </c>
      <c r="B425" t="s">
        <v>9</v>
      </c>
    </row>
    <row r="426" spans="1:22" x14ac:dyDescent="0.3">
      <c r="A426" t="s">
        <v>10</v>
      </c>
      <c r="B426">
        <v>380</v>
      </c>
      <c r="C426" t="s">
        <v>11</v>
      </c>
      <c r="V426">
        <v>17</v>
      </c>
    </row>
    <row r="427" spans="1:22" x14ac:dyDescent="0.3">
      <c r="A427" t="s">
        <v>12</v>
      </c>
      <c r="B427">
        <v>31000</v>
      </c>
      <c r="C427" t="s">
        <v>47</v>
      </c>
      <c r="V427" t="s">
        <v>15</v>
      </c>
    </row>
    <row r="428" spans="1:22" x14ac:dyDescent="0.3">
      <c r="A428" t="s">
        <v>14</v>
      </c>
      <c r="B428">
        <v>2010000000</v>
      </c>
      <c r="C428" t="s">
        <v>6</v>
      </c>
      <c r="S428">
        <v>0</v>
      </c>
      <c r="U428" t="s">
        <v>67</v>
      </c>
      <c r="V428" s="1">
        <v>890695</v>
      </c>
    </row>
    <row r="430" spans="1:22" x14ac:dyDescent="0.3">
      <c r="D430">
        <v>17</v>
      </c>
      <c r="S430" t="s">
        <v>0</v>
      </c>
      <c r="T430" t="s">
        <v>1</v>
      </c>
    </row>
    <row r="431" spans="1:22" x14ac:dyDescent="0.3">
      <c r="D431" t="s">
        <v>15</v>
      </c>
      <c r="S431" t="s">
        <v>2</v>
      </c>
      <c r="T431">
        <v>1200</v>
      </c>
    </row>
    <row r="432" spans="1:22" x14ac:dyDescent="0.3">
      <c r="A432">
        <v>3</v>
      </c>
      <c r="C432" t="s">
        <v>16</v>
      </c>
      <c r="D432" s="1">
        <v>11361</v>
      </c>
      <c r="S432" t="s">
        <v>3</v>
      </c>
      <c r="T432" t="s">
        <v>4</v>
      </c>
    </row>
    <row r="433" spans="1:22" x14ac:dyDescent="0.3">
      <c r="A433">
        <v>6</v>
      </c>
      <c r="C433" t="s">
        <v>17</v>
      </c>
      <c r="D433" s="1">
        <v>199047</v>
      </c>
      <c r="S433" t="s">
        <v>5</v>
      </c>
      <c r="T433" t="s">
        <v>6</v>
      </c>
      <c r="U433" t="s">
        <v>7</v>
      </c>
    </row>
    <row r="434" spans="1:22" x14ac:dyDescent="0.3">
      <c r="S434" t="s">
        <v>8</v>
      </c>
      <c r="T434" t="s">
        <v>9</v>
      </c>
    </row>
    <row r="435" spans="1:22" x14ac:dyDescent="0.3">
      <c r="A435" t="s">
        <v>0</v>
      </c>
      <c r="B435" t="s">
        <v>1</v>
      </c>
      <c r="S435" t="s">
        <v>10</v>
      </c>
      <c r="T435">
        <v>380</v>
      </c>
      <c r="U435" t="s">
        <v>11</v>
      </c>
    </row>
    <row r="436" spans="1:22" x14ac:dyDescent="0.3">
      <c r="A436" t="s">
        <v>2</v>
      </c>
      <c r="B436">
        <v>1200</v>
      </c>
      <c r="S436" t="s">
        <v>12</v>
      </c>
      <c r="T436">
        <v>34000</v>
      </c>
      <c r="U436" t="s">
        <v>50</v>
      </c>
    </row>
    <row r="437" spans="1:22" x14ac:dyDescent="0.3">
      <c r="A437" t="s">
        <v>3</v>
      </c>
      <c r="B437" t="s">
        <v>4</v>
      </c>
      <c r="S437" t="s">
        <v>14</v>
      </c>
      <c r="T437">
        <v>2010000000</v>
      </c>
      <c r="U437" t="s">
        <v>6</v>
      </c>
    </row>
    <row r="438" spans="1:22" x14ac:dyDescent="0.3">
      <c r="A438" t="s">
        <v>5</v>
      </c>
      <c r="B438" t="s">
        <v>6</v>
      </c>
      <c r="C438" t="s">
        <v>7</v>
      </c>
    </row>
    <row r="439" spans="1:22" x14ac:dyDescent="0.3">
      <c r="A439" t="s">
        <v>8</v>
      </c>
      <c r="B439" t="s">
        <v>9</v>
      </c>
      <c r="V439">
        <v>17</v>
      </c>
    </row>
    <row r="440" spans="1:22" x14ac:dyDescent="0.3">
      <c r="A440" t="s">
        <v>10</v>
      </c>
      <c r="B440">
        <v>380</v>
      </c>
      <c r="C440" t="s">
        <v>11</v>
      </c>
      <c r="V440" t="s">
        <v>15</v>
      </c>
    </row>
    <row r="441" spans="1:22" x14ac:dyDescent="0.3">
      <c r="A441" t="s">
        <v>12</v>
      </c>
      <c r="B441">
        <v>32000</v>
      </c>
      <c r="C441" t="s">
        <v>48</v>
      </c>
      <c r="S441">
        <v>0</v>
      </c>
      <c r="U441" t="s">
        <v>67</v>
      </c>
      <c r="V441" s="1">
        <v>1349323</v>
      </c>
    </row>
    <row r="442" spans="1:22" x14ac:dyDescent="0.3">
      <c r="A442" t="s">
        <v>14</v>
      </c>
      <c r="B442">
        <v>2010000000</v>
      </c>
      <c r="C442" t="s">
        <v>6</v>
      </c>
    </row>
    <row r="443" spans="1:22" x14ac:dyDescent="0.3">
      <c r="S443" t="s">
        <v>0</v>
      </c>
      <c r="T443" t="s">
        <v>1</v>
      </c>
    </row>
    <row r="444" spans="1:22" x14ac:dyDescent="0.3">
      <c r="D444">
        <v>17</v>
      </c>
      <c r="S444" t="s">
        <v>2</v>
      </c>
      <c r="T444">
        <v>1200</v>
      </c>
    </row>
    <row r="445" spans="1:22" x14ac:dyDescent="0.3">
      <c r="D445" t="s">
        <v>15</v>
      </c>
      <c r="S445" t="s">
        <v>3</v>
      </c>
      <c r="T445" t="s">
        <v>4</v>
      </c>
    </row>
    <row r="446" spans="1:22" x14ac:dyDescent="0.3">
      <c r="A446">
        <v>3</v>
      </c>
      <c r="C446" t="s">
        <v>16</v>
      </c>
      <c r="D446" s="1">
        <v>8430</v>
      </c>
      <c r="S446" t="s">
        <v>5</v>
      </c>
      <c r="T446" t="s">
        <v>6</v>
      </c>
      <c r="U446" t="s">
        <v>7</v>
      </c>
    </row>
    <row r="447" spans="1:22" x14ac:dyDescent="0.3">
      <c r="A447">
        <v>6</v>
      </c>
      <c r="C447" t="s">
        <v>17</v>
      </c>
      <c r="D447" s="1">
        <v>246999</v>
      </c>
      <c r="S447" t="s">
        <v>8</v>
      </c>
      <c r="T447" t="s">
        <v>9</v>
      </c>
    </row>
    <row r="448" spans="1:22" x14ac:dyDescent="0.3">
      <c r="S448" t="s">
        <v>10</v>
      </c>
      <c r="T448">
        <v>380</v>
      </c>
      <c r="U448" t="s">
        <v>11</v>
      </c>
    </row>
    <row r="449" spans="1:22" x14ac:dyDescent="0.3">
      <c r="A449" t="s">
        <v>0</v>
      </c>
      <c r="B449" t="s">
        <v>1</v>
      </c>
      <c r="S449" t="s">
        <v>12</v>
      </c>
      <c r="T449">
        <v>35000</v>
      </c>
      <c r="U449" t="s">
        <v>51</v>
      </c>
    </row>
    <row r="450" spans="1:22" x14ac:dyDescent="0.3">
      <c r="A450" t="s">
        <v>2</v>
      </c>
      <c r="B450">
        <v>1200</v>
      </c>
      <c r="S450" t="s">
        <v>14</v>
      </c>
      <c r="T450">
        <v>2010000000</v>
      </c>
      <c r="U450" t="s">
        <v>6</v>
      </c>
    </row>
    <row r="451" spans="1:22" x14ac:dyDescent="0.3">
      <c r="A451" t="s">
        <v>3</v>
      </c>
      <c r="B451" t="s">
        <v>4</v>
      </c>
    </row>
    <row r="452" spans="1:22" x14ac:dyDescent="0.3">
      <c r="A452" t="s">
        <v>5</v>
      </c>
      <c r="B452" t="s">
        <v>6</v>
      </c>
      <c r="C452" t="s">
        <v>7</v>
      </c>
      <c r="V452">
        <v>17</v>
      </c>
    </row>
    <row r="453" spans="1:22" x14ac:dyDescent="0.3">
      <c r="A453" t="s">
        <v>8</v>
      </c>
      <c r="B453" t="s">
        <v>9</v>
      </c>
      <c r="V453" t="s">
        <v>15</v>
      </c>
    </row>
    <row r="454" spans="1:22" x14ac:dyDescent="0.3">
      <c r="A454" t="s">
        <v>10</v>
      </c>
      <c r="B454">
        <v>380</v>
      </c>
      <c r="C454" t="s">
        <v>11</v>
      </c>
      <c r="S454">
        <v>0</v>
      </c>
      <c r="U454" t="s">
        <v>67</v>
      </c>
      <c r="V454" s="1">
        <v>655903</v>
      </c>
    </row>
    <row r="455" spans="1:22" x14ac:dyDescent="0.3">
      <c r="A455" t="s">
        <v>12</v>
      </c>
      <c r="B455">
        <v>33000</v>
      </c>
      <c r="C455" t="s">
        <v>49</v>
      </c>
    </row>
    <row r="456" spans="1:22" x14ac:dyDescent="0.3">
      <c r="A456" t="s">
        <v>14</v>
      </c>
      <c r="B456">
        <v>2010000000</v>
      </c>
      <c r="C456" t="s">
        <v>6</v>
      </c>
      <c r="S456" t="s">
        <v>0</v>
      </c>
      <c r="T456" t="s">
        <v>1</v>
      </c>
    </row>
    <row r="457" spans="1:22" x14ac:dyDescent="0.3">
      <c r="S457" t="s">
        <v>2</v>
      </c>
      <c r="T457">
        <v>1200</v>
      </c>
    </row>
    <row r="458" spans="1:22" x14ac:dyDescent="0.3">
      <c r="D458">
        <v>17</v>
      </c>
      <c r="S458" t="s">
        <v>3</v>
      </c>
      <c r="T458" t="s">
        <v>4</v>
      </c>
    </row>
    <row r="459" spans="1:22" x14ac:dyDescent="0.3">
      <c r="D459" t="s">
        <v>15</v>
      </c>
      <c r="S459" t="s">
        <v>5</v>
      </c>
      <c r="T459" t="s">
        <v>6</v>
      </c>
      <c r="U459" t="s">
        <v>7</v>
      </c>
    </row>
    <row r="460" spans="1:22" x14ac:dyDescent="0.3">
      <c r="A460">
        <v>3</v>
      </c>
      <c r="C460" t="s">
        <v>16</v>
      </c>
      <c r="D460" s="1">
        <v>65095</v>
      </c>
      <c r="S460" t="s">
        <v>8</v>
      </c>
      <c r="T460" t="s">
        <v>9</v>
      </c>
    </row>
    <row r="461" spans="1:22" x14ac:dyDescent="0.3">
      <c r="A461">
        <v>6</v>
      </c>
      <c r="C461" t="s">
        <v>17</v>
      </c>
      <c r="D461" s="1">
        <v>590326</v>
      </c>
      <c r="S461" t="s">
        <v>10</v>
      </c>
      <c r="T461">
        <v>380</v>
      </c>
      <c r="U461" t="s">
        <v>11</v>
      </c>
    </row>
    <row r="462" spans="1:22" x14ac:dyDescent="0.3">
      <c r="S462" t="s">
        <v>12</v>
      </c>
      <c r="T462">
        <v>36000</v>
      </c>
      <c r="U462" t="s">
        <v>52</v>
      </c>
    </row>
    <row r="463" spans="1:22" x14ac:dyDescent="0.3">
      <c r="A463" t="s">
        <v>0</v>
      </c>
      <c r="B463" t="s">
        <v>1</v>
      </c>
      <c r="S463" t="s">
        <v>14</v>
      </c>
      <c r="T463">
        <v>2010000000</v>
      </c>
      <c r="U463" t="s">
        <v>6</v>
      </c>
    </row>
    <row r="464" spans="1:22" x14ac:dyDescent="0.3">
      <c r="A464" t="s">
        <v>2</v>
      </c>
      <c r="B464">
        <v>1200</v>
      </c>
    </row>
    <row r="465" spans="1:22" x14ac:dyDescent="0.3">
      <c r="A465" t="s">
        <v>3</v>
      </c>
      <c r="B465" t="s">
        <v>4</v>
      </c>
      <c r="V465">
        <v>17</v>
      </c>
    </row>
    <row r="466" spans="1:22" x14ac:dyDescent="0.3">
      <c r="A466" t="s">
        <v>5</v>
      </c>
      <c r="B466" t="s">
        <v>6</v>
      </c>
      <c r="C466" t="s">
        <v>7</v>
      </c>
      <c r="V466" t="s">
        <v>15</v>
      </c>
    </row>
    <row r="467" spans="1:22" x14ac:dyDescent="0.3">
      <c r="A467" t="s">
        <v>8</v>
      </c>
      <c r="B467" t="s">
        <v>9</v>
      </c>
      <c r="S467">
        <v>0</v>
      </c>
      <c r="U467" t="s">
        <v>67</v>
      </c>
      <c r="V467" s="1">
        <v>326543</v>
      </c>
    </row>
    <row r="468" spans="1:22" x14ac:dyDescent="0.3">
      <c r="A468" t="s">
        <v>10</v>
      </c>
      <c r="B468">
        <v>380</v>
      </c>
      <c r="C468" t="s">
        <v>11</v>
      </c>
    </row>
    <row r="469" spans="1:22" x14ac:dyDescent="0.3">
      <c r="A469" t="s">
        <v>12</v>
      </c>
      <c r="B469">
        <v>34000</v>
      </c>
      <c r="C469" t="s">
        <v>50</v>
      </c>
      <c r="S469" t="s">
        <v>0</v>
      </c>
      <c r="T469" t="s">
        <v>1</v>
      </c>
    </row>
    <row r="470" spans="1:22" x14ac:dyDescent="0.3">
      <c r="A470" t="s">
        <v>14</v>
      </c>
      <c r="B470">
        <v>2010000000</v>
      </c>
      <c r="C470" t="s">
        <v>6</v>
      </c>
      <c r="S470" t="s">
        <v>2</v>
      </c>
      <c r="T470">
        <v>1200</v>
      </c>
    </row>
    <row r="471" spans="1:22" x14ac:dyDescent="0.3">
      <c r="S471" t="s">
        <v>3</v>
      </c>
      <c r="T471" t="s">
        <v>4</v>
      </c>
    </row>
    <row r="472" spans="1:22" x14ac:dyDescent="0.3">
      <c r="D472">
        <v>17</v>
      </c>
      <c r="S472" t="s">
        <v>5</v>
      </c>
      <c r="T472" t="s">
        <v>6</v>
      </c>
      <c r="U472" t="s">
        <v>7</v>
      </c>
    </row>
    <row r="473" spans="1:22" x14ac:dyDescent="0.3">
      <c r="D473" t="s">
        <v>15</v>
      </c>
      <c r="S473" t="s">
        <v>8</v>
      </c>
      <c r="T473" t="s">
        <v>9</v>
      </c>
    </row>
    <row r="474" spans="1:22" x14ac:dyDescent="0.3">
      <c r="A474">
        <v>3</v>
      </c>
      <c r="C474" t="s">
        <v>16</v>
      </c>
      <c r="D474" s="1">
        <v>173637</v>
      </c>
      <c r="S474" t="s">
        <v>10</v>
      </c>
      <c r="T474">
        <v>380</v>
      </c>
      <c r="U474" t="s">
        <v>11</v>
      </c>
    </row>
    <row r="475" spans="1:22" x14ac:dyDescent="0.3">
      <c r="A475">
        <v>6</v>
      </c>
      <c r="C475" t="s">
        <v>17</v>
      </c>
      <c r="D475" s="1">
        <v>663678</v>
      </c>
      <c r="S475" t="s">
        <v>12</v>
      </c>
      <c r="T475">
        <v>37000</v>
      </c>
      <c r="U475" t="s">
        <v>53</v>
      </c>
    </row>
    <row r="476" spans="1:22" x14ac:dyDescent="0.3">
      <c r="S476" t="s">
        <v>14</v>
      </c>
      <c r="T476">
        <v>2010000000</v>
      </c>
      <c r="U476" t="s">
        <v>6</v>
      </c>
    </row>
    <row r="477" spans="1:22" x14ac:dyDescent="0.3">
      <c r="A477" t="s">
        <v>0</v>
      </c>
      <c r="B477" t="s">
        <v>1</v>
      </c>
    </row>
    <row r="478" spans="1:22" x14ac:dyDescent="0.3">
      <c r="A478" t="s">
        <v>2</v>
      </c>
      <c r="B478">
        <v>1200</v>
      </c>
      <c r="V478">
        <v>17</v>
      </c>
    </row>
    <row r="479" spans="1:22" x14ac:dyDescent="0.3">
      <c r="A479" t="s">
        <v>3</v>
      </c>
      <c r="B479" t="s">
        <v>4</v>
      </c>
      <c r="V479" t="s">
        <v>15</v>
      </c>
    </row>
    <row r="480" spans="1:22" x14ac:dyDescent="0.3">
      <c r="A480" t="s">
        <v>5</v>
      </c>
      <c r="B480" t="s">
        <v>6</v>
      </c>
      <c r="C480" t="s">
        <v>7</v>
      </c>
      <c r="S480">
        <v>0</v>
      </c>
      <c r="U480" t="s">
        <v>67</v>
      </c>
      <c r="V480" s="1">
        <v>446025</v>
      </c>
    </row>
    <row r="481" spans="1:22" x14ac:dyDescent="0.3">
      <c r="A481" t="s">
        <v>8</v>
      </c>
      <c r="B481" t="s">
        <v>9</v>
      </c>
    </row>
    <row r="482" spans="1:22" x14ac:dyDescent="0.3">
      <c r="A482" t="s">
        <v>10</v>
      </c>
      <c r="B482">
        <v>380</v>
      </c>
      <c r="C482" t="s">
        <v>11</v>
      </c>
      <c r="S482" t="s">
        <v>0</v>
      </c>
      <c r="T482" t="s">
        <v>1</v>
      </c>
    </row>
    <row r="483" spans="1:22" x14ac:dyDescent="0.3">
      <c r="A483" t="s">
        <v>12</v>
      </c>
      <c r="B483">
        <v>35000</v>
      </c>
      <c r="C483" t="s">
        <v>51</v>
      </c>
      <c r="S483" t="s">
        <v>2</v>
      </c>
      <c r="T483">
        <v>1200</v>
      </c>
    </row>
    <row r="484" spans="1:22" x14ac:dyDescent="0.3">
      <c r="A484" t="s">
        <v>14</v>
      </c>
      <c r="B484">
        <v>2010000000</v>
      </c>
      <c r="C484" t="s">
        <v>6</v>
      </c>
      <c r="S484" t="s">
        <v>3</v>
      </c>
      <c r="T484" t="s">
        <v>4</v>
      </c>
    </row>
    <row r="485" spans="1:22" x14ac:dyDescent="0.3">
      <c r="S485" t="s">
        <v>5</v>
      </c>
      <c r="T485" t="s">
        <v>6</v>
      </c>
      <c r="U485" t="s">
        <v>7</v>
      </c>
    </row>
    <row r="486" spans="1:22" x14ac:dyDescent="0.3">
      <c r="D486">
        <v>17</v>
      </c>
      <c r="S486" t="s">
        <v>8</v>
      </c>
      <c r="T486" t="s">
        <v>9</v>
      </c>
    </row>
    <row r="487" spans="1:22" x14ac:dyDescent="0.3">
      <c r="D487" t="s">
        <v>15</v>
      </c>
      <c r="S487" t="s">
        <v>10</v>
      </c>
      <c r="T487">
        <v>380</v>
      </c>
      <c r="U487" t="s">
        <v>11</v>
      </c>
    </row>
    <row r="488" spans="1:22" x14ac:dyDescent="0.3">
      <c r="A488">
        <v>3</v>
      </c>
      <c r="C488" t="s">
        <v>16</v>
      </c>
      <c r="D488" s="1">
        <v>38093</v>
      </c>
      <c r="S488" t="s">
        <v>12</v>
      </c>
      <c r="T488">
        <v>38000</v>
      </c>
      <c r="U488" t="s">
        <v>54</v>
      </c>
    </row>
    <row r="489" spans="1:22" x14ac:dyDescent="0.3">
      <c r="A489">
        <v>6</v>
      </c>
      <c r="C489" t="s">
        <v>17</v>
      </c>
      <c r="D489" s="1">
        <v>452380</v>
      </c>
      <c r="S489" t="s">
        <v>14</v>
      </c>
      <c r="T489">
        <v>2010000000</v>
      </c>
      <c r="U489" t="s">
        <v>6</v>
      </c>
    </row>
    <row r="491" spans="1:22" x14ac:dyDescent="0.3">
      <c r="A491" t="s">
        <v>0</v>
      </c>
      <c r="B491" t="s">
        <v>1</v>
      </c>
      <c r="V491">
        <v>17</v>
      </c>
    </row>
    <row r="492" spans="1:22" x14ac:dyDescent="0.3">
      <c r="A492" t="s">
        <v>2</v>
      </c>
      <c r="B492">
        <v>1200</v>
      </c>
      <c r="V492" t="s">
        <v>15</v>
      </c>
    </row>
    <row r="493" spans="1:22" x14ac:dyDescent="0.3">
      <c r="A493" t="s">
        <v>3</v>
      </c>
      <c r="B493" t="s">
        <v>4</v>
      </c>
      <c r="S493">
        <v>0</v>
      </c>
      <c r="U493" t="s">
        <v>67</v>
      </c>
      <c r="V493" s="1">
        <v>610330</v>
      </c>
    </row>
    <row r="494" spans="1:22" x14ac:dyDescent="0.3">
      <c r="A494" t="s">
        <v>5</v>
      </c>
      <c r="B494" t="s">
        <v>6</v>
      </c>
      <c r="C494" t="s">
        <v>7</v>
      </c>
    </row>
    <row r="495" spans="1:22" x14ac:dyDescent="0.3">
      <c r="A495" t="s">
        <v>8</v>
      </c>
      <c r="B495" t="s">
        <v>9</v>
      </c>
      <c r="S495" t="s">
        <v>0</v>
      </c>
      <c r="T495" t="s">
        <v>1</v>
      </c>
    </row>
    <row r="496" spans="1:22" x14ac:dyDescent="0.3">
      <c r="A496" t="s">
        <v>10</v>
      </c>
      <c r="B496">
        <v>380</v>
      </c>
      <c r="C496" t="s">
        <v>11</v>
      </c>
      <c r="S496" t="s">
        <v>2</v>
      </c>
      <c r="T496">
        <v>1200</v>
      </c>
    </row>
    <row r="497" spans="1:22" x14ac:dyDescent="0.3">
      <c r="A497" t="s">
        <v>12</v>
      </c>
      <c r="B497">
        <v>36000</v>
      </c>
      <c r="C497" t="s">
        <v>52</v>
      </c>
      <c r="S497" t="s">
        <v>3</v>
      </c>
      <c r="T497" t="s">
        <v>4</v>
      </c>
    </row>
    <row r="498" spans="1:22" x14ac:dyDescent="0.3">
      <c r="A498" t="s">
        <v>14</v>
      </c>
      <c r="B498">
        <v>2010000000</v>
      </c>
      <c r="C498" t="s">
        <v>6</v>
      </c>
      <c r="S498" t="s">
        <v>5</v>
      </c>
      <c r="T498" t="s">
        <v>6</v>
      </c>
      <c r="U498" t="s">
        <v>7</v>
      </c>
    </row>
    <row r="499" spans="1:22" x14ac:dyDescent="0.3">
      <c r="S499" t="s">
        <v>8</v>
      </c>
      <c r="T499" t="s">
        <v>9</v>
      </c>
    </row>
    <row r="500" spans="1:22" x14ac:dyDescent="0.3">
      <c r="D500">
        <v>17</v>
      </c>
      <c r="S500" t="s">
        <v>10</v>
      </c>
      <c r="T500">
        <v>380</v>
      </c>
      <c r="U500" t="s">
        <v>11</v>
      </c>
    </row>
    <row r="501" spans="1:22" x14ac:dyDescent="0.3">
      <c r="D501" t="s">
        <v>15</v>
      </c>
      <c r="S501" t="s">
        <v>12</v>
      </c>
      <c r="T501">
        <v>39000</v>
      </c>
      <c r="U501" t="s">
        <v>55</v>
      </c>
    </row>
    <row r="502" spans="1:22" x14ac:dyDescent="0.3">
      <c r="A502">
        <v>3</v>
      </c>
      <c r="C502" t="s">
        <v>16</v>
      </c>
      <c r="D502" s="1">
        <v>11393</v>
      </c>
      <c r="S502" t="s">
        <v>14</v>
      </c>
      <c r="T502">
        <v>2010000000</v>
      </c>
      <c r="U502" t="s">
        <v>6</v>
      </c>
    </row>
    <row r="503" spans="1:22" x14ac:dyDescent="0.3">
      <c r="A503">
        <v>6</v>
      </c>
      <c r="C503" t="s">
        <v>17</v>
      </c>
      <c r="D503" s="1">
        <v>226194</v>
      </c>
    </row>
    <row r="504" spans="1:22" x14ac:dyDescent="0.3">
      <c r="V504">
        <v>17</v>
      </c>
    </row>
    <row r="505" spans="1:22" x14ac:dyDescent="0.3">
      <c r="A505" t="s">
        <v>0</v>
      </c>
      <c r="B505" t="s">
        <v>1</v>
      </c>
      <c r="V505" t="s">
        <v>15</v>
      </c>
    </row>
    <row r="506" spans="1:22" x14ac:dyDescent="0.3">
      <c r="A506" t="s">
        <v>2</v>
      </c>
      <c r="B506">
        <v>1200</v>
      </c>
      <c r="S506">
        <v>0</v>
      </c>
      <c r="U506" t="s">
        <v>67</v>
      </c>
      <c r="V506" s="1">
        <v>309892</v>
      </c>
    </row>
    <row r="507" spans="1:22" x14ac:dyDescent="0.3">
      <c r="A507" t="s">
        <v>3</v>
      </c>
      <c r="B507" t="s">
        <v>4</v>
      </c>
    </row>
    <row r="508" spans="1:22" x14ac:dyDescent="0.3">
      <c r="A508" t="s">
        <v>5</v>
      </c>
      <c r="B508" t="s">
        <v>6</v>
      </c>
      <c r="C508" t="s">
        <v>7</v>
      </c>
      <c r="S508" t="s">
        <v>0</v>
      </c>
      <c r="T508" t="s">
        <v>1</v>
      </c>
    </row>
    <row r="509" spans="1:22" x14ac:dyDescent="0.3">
      <c r="A509" t="s">
        <v>8</v>
      </c>
      <c r="B509" t="s">
        <v>9</v>
      </c>
      <c r="S509" t="s">
        <v>2</v>
      </c>
      <c r="T509">
        <v>1200</v>
      </c>
    </row>
    <row r="510" spans="1:22" x14ac:dyDescent="0.3">
      <c r="A510" t="s">
        <v>10</v>
      </c>
      <c r="B510">
        <v>380</v>
      </c>
      <c r="C510" t="s">
        <v>11</v>
      </c>
      <c r="S510" t="s">
        <v>3</v>
      </c>
      <c r="T510" t="s">
        <v>4</v>
      </c>
    </row>
    <row r="511" spans="1:22" x14ac:dyDescent="0.3">
      <c r="A511" t="s">
        <v>12</v>
      </c>
      <c r="B511">
        <v>37000</v>
      </c>
      <c r="C511" t="s">
        <v>53</v>
      </c>
      <c r="S511" t="s">
        <v>5</v>
      </c>
      <c r="T511" t="s">
        <v>6</v>
      </c>
      <c r="U511" t="s">
        <v>7</v>
      </c>
    </row>
    <row r="512" spans="1:22" x14ac:dyDescent="0.3">
      <c r="A512" t="s">
        <v>14</v>
      </c>
      <c r="B512">
        <v>2010000000</v>
      </c>
      <c r="C512" t="s">
        <v>6</v>
      </c>
      <c r="S512" t="s">
        <v>8</v>
      </c>
      <c r="T512" t="s">
        <v>9</v>
      </c>
    </row>
    <row r="513" spans="1:22" x14ac:dyDescent="0.3">
      <c r="S513" t="s">
        <v>10</v>
      </c>
      <c r="T513">
        <v>380</v>
      </c>
      <c r="U513" t="s">
        <v>11</v>
      </c>
    </row>
    <row r="514" spans="1:22" x14ac:dyDescent="0.3">
      <c r="D514">
        <v>17</v>
      </c>
      <c r="S514" t="s">
        <v>12</v>
      </c>
      <c r="T514">
        <v>40000</v>
      </c>
      <c r="U514" t="s">
        <v>56</v>
      </c>
    </row>
    <row r="515" spans="1:22" x14ac:dyDescent="0.3">
      <c r="D515" t="s">
        <v>15</v>
      </c>
      <c r="S515" t="s">
        <v>14</v>
      </c>
      <c r="T515">
        <v>2010000000</v>
      </c>
      <c r="U515" t="s">
        <v>6</v>
      </c>
    </row>
    <row r="516" spans="1:22" x14ac:dyDescent="0.3">
      <c r="A516">
        <v>3</v>
      </c>
      <c r="C516" t="s">
        <v>16</v>
      </c>
      <c r="D516" s="1">
        <v>31352</v>
      </c>
    </row>
    <row r="517" spans="1:22" x14ac:dyDescent="0.3">
      <c r="A517">
        <v>6</v>
      </c>
      <c r="C517" t="s">
        <v>17</v>
      </c>
      <c r="D517" s="1">
        <v>297473</v>
      </c>
      <c r="V517">
        <v>17</v>
      </c>
    </row>
    <row r="518" spans="1:22" x14ac:dyDescent="0.3">
      <c r="V518" t="s">
        <v>15</v>
      </c>
    </row>
    <row r="519" spans="1:22" x14ac:dyDescent="0.3">
      <c r="A519" t="s">
        <v>0</v>
      </c>
      <c r="B519" t="s">
        <v>1</v>
      </c>
      <c r="S519">
        <v>0</v>
      </c>
      <c r="U519" t="s">
        <v>67</v>
      </c>
      <c r="V519" s="1">
        <v>2295579</v>
      </c>
    </row>
    <row r="520" spans="1:22" x14ac:dyDescent="0.3">
      <c r="A520" t="s">
        <v>2</v>
      </c>
      <c r="B520">
        <v>1200</v>
      </c>
    </row>
    <row r="521" spans="1:22" x14ac:dyDescent="0.3">
      <c r="A521" t="s">
        <v>3</v>
      </c>
      <c r="B521" t="s">
        <v>4</v>
      </c>
      <c r="S521" t="s">
        <v>0</v>
      </c>
      <c r="T521" t="s">
        <v>1</v>
      </c>
    </row>
    <row r="522" spans="1:22" x14ac:dyDescent="0.3">
      <c r="A522" t="s">
        <v>5</v>
      </c>
      <c r="B522" t="s">
        <v>6</v>
      </c>
      <c r="C522" t="s">
        <v>7</v>
      </c>
      <c r="S522" t="s">
        <v>2</v>
      </c>
      <c r="T522">
        <v>1200</v>
      </c>
    </row>
    <row r="523" spans="1:22" x14ac:dyDescent="0.3">
      <c r="A523" t="s">
        <v>8</v>
      </c>
      <c r="B523" t="s">
        <v>9</v>
      </c>
      <c r="S523" t="s">
        <v>3</v>
      </c>
      <c r="T523" t="s">
        <v>4</v>
      </c>
    </row>
    <row r="524" spans="1:22" x14ac:dyDescent="0.3">
      <c r="A524" t="s">
        <v>10</v>
      </c>
      <c r="B524">
        <v>380</v>
      </c>
      <c r="C524" t="s">
        <v>11</v>
      </c>
      <c r="S524" t="s">
        <v>5</v>
      </c>
      <c r="T524" t="s">
        <v>6</v>
      </c>
      <c r="U524" t="s">
        <v>7</v>
      </c>
    </row>
    <row r="525" spans="1:22" x14ac:dyDescent="0.3">
      <c r="A525" t="s">
        <v>12</v>
      </c>
      <c r="B525">
        <v>38000</v>
      </c>
      <c r="C525" t="s">
        <v>54</v>
      </c>
      <c r="S525" t="s">
        <v>8</v>
      </c>
      <c r="T525" t="s">
        <v>9</v>
      </c>
    </row>
    <row r="526" spans="1:22" x14ac:dyDescent="0.3">
      <c r="A526" t="s">
        <v>14</v>
      </c>
      <c r="B526">
        <v>2010000000</v>
      </c>
      <c r="C526" t="s">
        <v>6</v>
      </c>
      <c r="S526" t="s">
        <v>10</v>
      </c>
      <c r="T526">
        <v>380</v>
      </c>
      <c r="U526" t="s">
        <v>11</v>
      </c>
    </row>
    <row r="527" spans="1:22" x14ac:dyDescent="0.3">
      <c r="S527" t="s">
        <v>12</v>
      </c>
      <c r="T527">
        <v>41000</v>
      </c>
      <c r="U527" t="s">
        <v>57</v>
      </c>
    </row>
    <row r="528" spans="1:22" x14ac:dyDescent="0.3">
      <c r="D528">
        <v>17</v>
      </c>
      <c r="S528" t="s">
        <v>14</v>
      </c>
      <c r="T528">
        <v>2010000000</v>
      </c>
      <c r="U528" t="s">
        <v>6</v>
      </c>
    </row>
    <row r="529" spans="1:22" x14ac:dyDescent="0.3">
      <c r="D529" t="s">
        <v>15</v>
      </c>
    </row>
    <row r="530" spans="1:22" x14ac:dyDescent="0.3">
      <c r="A530">
        <v>3</v>
      </c>
      <c r="C530" t="s">
        <v>16</v>
      </c>
      <c r="D530" s="1">
        <v>24780</v>
      </c>
      <c r="V530">
        <v>17</v>
      </c>
    </row>
    <row r="531" spans="1:22" x14ac:dyDescent="0.3">
      <c r="A531">
        <v>6</v>
      </c>
      <c r="C531" t="s">
        <v>17</v>
      </c>
      <c r="D531" s="1">
        <v>354795</v>
      </c>
      <c r="V531" t="s">
        <v>15</v>
      </c>
    </row>
    <row r="532" spans="1:22" x14ac:dyDescent="0.3">
      <c r="S532">
        <v>0</v>
      </c>
      <c r="U532" t="s">
        <v>67</v>
      </c>
      <c r="V532" s="1">
        <v>383559</v>
      </c>
    </row>
    <row r="533" spans="1:22" x14ac:dyDescent="0.3">
      <c r="A533" t="s">
        <v>0</v>
      </c>
      <c r="B533" t="s">
        <v>1</v>
      </c>
    </row>
    <row r="534" spans="1:22" x14ac:dyDescent="0.3">
      <c r="A534" t="s">
        <v>2</v>
      </c>
      <c r="B534">
        <v>1200</v>
      </c>
      <c r="S534" t="s">
        <v>0</v>
      </c>
      <c r="T534" t="s">
        <v>1</v>
      </c>
    </row>
    <row r="535" spans="1:22" x14ac:dyDescent="0.3">
      <c r="A535" t="s">
        <v>3</v>
      </c>
      <c r="B535" t="s">
        <v>4</v>
      </c>
      <c r="S535" t="s">
        <v>2</v>
      </c>
      <c r="T535">
        <v>1200</v>
      </c>
    </row>
    <row r="536" spans="1:22" x14ac:dyDescent="0.3">
      <c r="A536" t="s">
        <v>5</v>
      </c>
      <c r="B536" t="s">
        <v>6</v>
      </c>
      <c r="C536" t="s">
        <v>7</v>
      </c>
      <c r="S536" t="s">
        <v>3</v>
      </c>
      <c r="T536" t="s">
        <v>4</v>
      </c>
    </row>
    <row r="537" spans="1:22" x14ac:dyDescent="0.3">
      <c r="A537" t="s">
        <v>8</v>
      </c>
      <c r="B537" t="s">
        <v>9</v>
      </c>
      <c r="S537" t="s">
        <v>5</v>
      </c>
      <c r="T537" t="s">
        <v>6</v>
      </c>
      <c r="U537" t="s">
        <v>7</v>
      </c>
    </row>
    <row r="538" spans="1:22" x14ac:dyDescent="0.3">
      <c r="A538" t="s">
        <v>10</v>
      </c>
      <c r="B538">
        <v>380</v>
      </c>
      <c r="C538" t="s">
        <v>11</v>
      </c>
      <c r="S538" t="s">
        <v>8</v>
      </c>
      <c r="T538" t="s">
        <v>9</v>
      </c>
    </row>
    <row r="539" spans="1:22" x14ac:dyDescent="0.3">
      <c r="A539" t="s">
        <v>12</v>
      </c>
      <c r="B539">
        <v>39000</v>
      </c>
      <c r="C539" t="s">
        <v>55</v>
      </c>
      <c r="S539" t="s">
        <v>10</v>
      </c>
      <c r="T539">
        <v>380</v>
      </c>
      <c r="U539" t="s">
        <v>11</v>
      </c>
    </row>
    <row r="540" spans="1:22" x14ac:dyDescent="0.3">
      <c r="A540" t="s">
        <v>14</v>
      </c>
      <c r="B540">
        <v>2010000000</v>
      </c>
      <c r="C540" t="s">
        <v>6</v>
      </c>
      <c r="S540" t="s">
        <v>12</v>
      </c>
      <c r="T540">
        <v>42000</v>
      </c>
      <c r="U540" t="s">
        <v>58</v>
      </c>
    </row>
    <row r="541" spans="1:22" x14ac:dyDescent="0.3">
      <c r="S541" t="s">
        <v>14</v>
      </c>
      <c r="T541">
        <v>2010000000</v>
      </c>
      <c r="U541" t="s">
        <v>6</v>
      </c>
    </row>
    <row r="542" spans="1:22" x14ac:dyDescent="0.3">
      <c r="D542">
        <v>17</v>
      </c>
    </row>
    <row r="543" spans="1:22" x14ac:dyDescent="0.3">
      <c r="D543" t="s">
        <v>15</v>
      </c>
      <c r="V543">
        <v>17</v>
      </c>
    </row>
    <row r="544" spans="1:22" x14ac:dyDescent="0.3">
      <c r="A544">
        <v>3</v>
      </c>
      <c r="C544" t="s">
        <v>16</v>
      </c>
      <c r="D544" s="1">
        <v>11670</v>
      </c>
      <c r="V544" t="s">
        <v>15</v>
      </c>
    </row>
    <row r="545" spans="1:22" x14ac:dyDescent="0.3">
      <c r="A545">
        <v>6</v>
      </c>
      <c r="C545" t="s">
        <v>17</v>
      </c>
      <c r="D545" s="1">
        <v>191601</v>
      </c>
      <c r="S545">
        <v>0</v>
      </c>
      <c r="U545" t="s">
        <v>67</v>
      </c>
      <c r="V545" s="1">
        <v>624847</v>
      </c>
    </row>
    <row r="547" spans="1:22" x14ac:dyDescent="0.3">
      <c r="A547" t="s">
        <v>0</v>
      </c>
      <c r="B547" t="s">
        <v>1</v>
      </c>
      <c r="S547" t="s">
        <v>0</v>
      </c>
      <c r="T547" t="s">
        <v>1</v>
      </c>
    </row>
    <row r="548" spans="1:22" x14ac:dyDescent="0.3">
      <c r="A548" t="s">
        <v>2</v>
      </c>
      <c r="B548">
        <v>1200</v>
      </c>
      <c r="S548" t="s">
        <v>2</v>
      </c>
      <c r="T548">
        <v>1200</v>
      </c>
    </row>
    <row r="549" spans="1:22" x14ac:dyDescent="0.3">
      <c r="A549" t="s">
        <v>3</v>
      </c>
      <c r="B549" t="s">
        <v>4</v>
      </c>
      <c r="S549" t="s">
        <v>3</v>
      </c>
      <c r="T549" t="s">
        <v>4</v>
      </c>
    </row>
    <row r="550" spans="1:22" x14ac:dyDescent="0.3">
      <c r="A550" t="s">
        <v>5</v>
      </c>
      <c r="B550" t="s">
        <v>6</v>
      </c>
      <c r="C550" t="s">
        <v>7</v>
      </c>
      <c r="S550" t="s">
        <v>5</v>
      </c>
      <c r="T550" t="s">
        <v>6</v>
      </c>
      <c r="U550" t="s">
        <v>7</v>
      </c>
    </row>
    <row r="551" spans="1:22" x14ac:dyDescent="0.3">
      <c r="A551" t="s">
        <v>8</v>
      </c>
      <c r="B551" t="s">
        <v>9</v>
      </c>
      <c r="S551" t="s">
        <v>8</v>
      </c>
      <c r="T551" t="s">
        <v>9</v>
      </c>
    </row>
    <row r="552" spans="1:22" x14ac:dyDescent="0.3">
      <c r="A552" t="s">
        <v>10</v>
      </c>
      <c r="B552">
        <v>380</v>
      </c>
      <c r="C552" t="s">
        <v>11</v>
      </c>
      <c r="S552" t="s">
        <v>10</v>
      </c>
      <c r="T552">
        <v>380</v>
      </c>
      <c r="U552" t="s">
        <v>11</v>
      </c>
    </row>
    <row r="553" spans="1:22" x14ac:dyDescent="0.3">
      <c r="A553" t="s">
        <v>12</v>
      </c>
      <c r="B553">
        <v>40000</v>
      </c>
      <c r="C553" t="s">
        <v>56</v>
      </c>
      <c r="S553" t="s">
        <v>12</v>
      </c>
      <c r="T553">
        <v>43000</v>
      </c>
      <c r="U553" t="s">
        <v>59</v>
      </c>
    </row>
    <row r="554" spans="1:22" x14ac:dyDescent="0.3">
      <c r="A554" t="s">
        <v>14</v>
      </c>
      <c r="B554">
        <v>2010000000</v>
      </c>
      <c r="C554" t="s">
        <v>6</v>
      </c>
      <c r="S554" t="s">
        <v>14</v>
      </c>
      <c r="T554">
        <v>2010000000</v>
      </c>
      <c r="U554" t="s">
        <v>6</v>
      </c>
    </row>
    <row r="556" spans="1:22" x14ac:dyDescent="0.3">
      <c r="D556">
        <v>17</v>
      </c>
      <c r="V556">
        <v>17</v>
      </c>
    </row>
    <row r="557" spans="1:22" x14ac:dyDescent="0.3">
      <c r="D557" t="s">
        <v>15</v>
      </c>
      <c r="V557" t="s">
        <v>15</v>
      </c>
    </row>
    <row r="558" spans="1:22" x14ac:dyDescent="0.3">
      <c r="A558">
        <v>3</v>
      </c>
      <c r="C558" t="s">
        <v>16</v>
      </c>
      <c r="D558" s="1">
        <v>397798</v>
      </c>
      <c r="S558">
        <v>0</v>
      </c>
      <c r="U558" t="s">
        <v>67</v>
      </c>
      <c r="V558" s="1">
        <v>789679</v>
      </c>
    </row>
    <row r="559" spans="1:22" x14ac:dyDescent="0.3">
      <c r="A559">
        <v>6</v>
      </c>
      <c r="C559" t="s">
        <v>17</v>
      </c>
      <c r="D559" s="1">
        <v>1148299</v>
      </c>
    </row>
    <row r="560" spans="1:22" x14ac:dyDescent="0.3">
      <c r="S560" t="s">
        <v>0</v>
      </c>
      <c r="T560" t="s">
        <v>1</v>
      </c>
    </row>
    <row r="561" spans="1:22" x14ac:dyDescent="0.3">
      <c r="A561" t="s">
        <v>0</v>
      </c>
      <c r="B561" t="s">
        <v>1</v>
      </c>
      <c r="S561" t="s">
        <v>2</v>
      </c>
      <c r="T561">
        <v>1200</v>
      </c>
    </row>
    <row r="562" spans="1:22" x14ac:dyDescent="0.3">
      <c r="A562" t="s">
        <v>2</v>
      </c>
      <c r="B562">
        <v>1200</v>
      </c>
      <c r="S562" t="s">
        <v>3</v>
      </c>
      <c r="T562" t="s">
        <v>4</v>
      </c>
    </row>
    <row r="563" spans="1:22" x14ac:dyDescent="0.3">
      <c r="A563" t="s">
        <v>3</v>
      </c>
      <c r="B563" t="s">
        <v>4</v>
      </c>
      <c r="S563" t="s">
        <v>5</v>
      </c>
      <c r="T563" t="s">
        <v>6</v>
      </c>
      <c r="U563" t="s">
        <v>7</v>
      </c>
    </row>
    <row r="564" spans="1:22" x14ac:dyDescent="0.3">
      <c r="A564" t="s">
        <v>5</v>
      </c>
      <c r="B564" t="s">
        <v>6</v>
      </c>
      <c r="C564" t="s">
        <v>7</v>
      </c>
      <c r="S564" t="s">
        <v>8</v>
      </c>
      <c r="T564" t="s">
        <v>9</v>
      </c>
    </row>
    <row r="565" spans="1:22" x14ac:dyDescent="0.3">
      <c r="A565" t="s">
        <v>8</v>
      </c>
      <c r="B565" t="s">
        <v>9</v>
      </c>
      <c r="S565" t="s">
        <v>10</v>
      </c>
      <c r="T565">
        <v>380</v>
      </c>
      <c r="U565" t="s">
        <v>11</v>
      </c>
    </row>
    <row r="566" spans="1:22" x14ac:dyDescent="0.3">
      <c r="A566" t="s">
        <v>10</v>
      </c>
      <c r="B566">
        <v>380</v>
      </c>
      <c r="C566" t="s">
        <v>11</v>
      </c>
      <c r="S566" t="s">
        <v>12</v>
      </c>
      <c r="T566">
        <v>44000</v>
      </c>
      <c r="U566" t="s">
        <v>60</v>
      </c>
    </row>
    <row r="567" spans="1:22" x14ac:dyDescent="0.3">
      <c r="A567" t="s">
        <v>12</v>
      </c>
      <c r="B567">
        <v>41000</v>
      </c>
      <c r="C567" t="s">
        <v>57</v>
      </c>
      <c r="S567" t="s">
        <v>14</v>
      </c>
      <c r="T567">
        <v>2010000000</v>
      </c>
      <c r="U567" t="s">
        <v>6</v>
      </c>
    </row>
    <row r="568" spans="1:22" x14ac:dyDescent="0.3">
      <c r="A568" t="s">
        <v>14</v>
      </c>
      <c r="B568">
        <v>2010000000</v>
      </c>
      <c r="C568" t="s">
        <v>6</v>
      </c>
    </row>
    <row r="569" spans="1:22" x14ac:dyDescent="0.3">
      <c r="V569">
        <v>17</v>
      </c>
    </row>
    <row r="570" spans="1:22" x14ac:dyDescent="0.3">
      <c r="D570">
        <v>17</v>
      </c>
      <c r="V570" t="s">
        <v>15</v>
      </c>
    </row>
    <row r="571" spans="1:22" x14ac:dyDescent="0.3">
      <c r="D571" t="s">
        <v>15</v>
      </c>
      <c r="S571">
        <v>0</v>
      </c>
      <c r="U571" t="s">
        <v>67</v>
      </c>
      <c r="V571" s="1">
        <v>530665</v>
      </c>
    </row>
    <row r="572" spans="1:22" x14ac:dyDescent="0.3">
      <c r="A572">
        <v>3</v>
      </c>
      <c r="C572" t="s">
        <v>16</v>
      </c>
      <c r="D572" s="1">
        <v>23486</v>
      </c>
    </row>
    <row r="573" spans="1:22" x14ac:dyDescent="0.3">
      <c r="A573">
        <v>6</v>
      </c>
      <c r="C573" t="s">
        <v>17</v>
      </c>
      <c r="D573" s="1">
        <v>279014</v>
      </c>
      <c r="S573" t="s">
        <v>0</v>
      </c>
      <c r="T573" t="s">
        <v>1</v>
      </c>
    </row>
    <row r="574" spans="1:22" x14ac:dyDescent="0.3">
      <c r="S574" t="s">
        <v>2</v>
      </c>
      <c r="T574">
        <v>1200</v>
      </c>
    </row>
    <row r="575" spans="1:22" x14ac:dyDescent="0.3">
      <c r="A575" t="s">
        <v>0</v>
      </c>
      <c r="B575" t="s">
        <v>1</v>
      </c>
      <c r="S575" t="s">
        <v>3</v>
      </c>
      <c r="T575" t="s">
        <v>4</v>
      </c>
    </row>
    <row r="576" spans="1:22" x14ac:dyDescent="0.3">
      <c r="A576" t="s">
        <v>2</v>
      </c>
      <c r="B576">
        <v>1200</v>
      </c>
      <c r="S576" t="s">
        <v>5</v>
      </c>
      <c r="T576" t="s">
        <v>6</v>
      </c>
      <c r="U576" t="s">
        <v>7</v>
      </c>
    </row>
    <row r="577" spans="1:22" x14ac:dyDescent="0.3">
      <c r="A577" t="s">
        <v>3</v>
      </c>
      <c r="B577" t="s">
        <v>4</v>
      </c>
      <c r="S577" t="s">
        <v>8</v>
      </c>
      <c r="T577" t="s">
        <v>9</v>
      </c>
    </row>
    <row r="578" spans="1:22" x14ac:dyDescent="0.3">
      <c r="A578" t="s">
        <v>5</v>
      </c>
      <c r="B578" t="s">
        <v>6</v>
      </c>
      <c r="C578" t="s">
        <v>7</v>
      </c>
      <c r="S578" t="s">
        <v>10</v>
      </c>
      <c r="T578">
        <v>380</v>
      </c>
      <c r="U578" t="s">
        <v>11</v>
      </c>
    </row>
    <row r="579" spans="1:22" x14ac:dyDescent="0.3">
      <c r="A579" t="s">
        <v>8</v>
      </c>
      <c r="B579" t="s">
        <v>9</v>
      </c>
      <c r="S579" t="s">
        <v>12</v>
      </c>
      <c r="T579">
        <v>45000</v>
      </c>
      <c r="U579" t="s">
        <v>61</v>
      </c>
    </row>
    <row r="580" spans="1:22" x14ac:dyDescent="0.3">
      <c r="A580" t="s">
        <v>10</v>
      </c>
      <c r="B580">
        <v>380</v>
      </c>
      <c r="C580" t="s">
        <v>11</v>
      </c>
      <c r="S580" t="s">
        <v>14</v>
      </c>
      <c r="T580">
        <v>2010000000</v>
      </c>
      <c r="U580" t="s">
        <v>6</v>
      </c>
    </row>
    <row r="581" spans="1:22" x14ac:dyDescent="0.3">
      <c r="A581" t="s">
        <v>12</v>
      </c>
      <c r="B581">
        <v>42000</v>
      </c>
      <c r="C581" t="s">
        <v>58</v>
      </c>
    </row>
    <row r="582" spans="1:22" x14ac:dyDescent="0.3">
      <c r="A582" t="s">
        <v>14</v>
      </c>
      <c r="B582">
        <v>2010000000</v>
      </c>
      <c r="C582" t="s">
        <v>6</v>
      </c>
      <c r="V582">
        <v>17</v>
      </c>
    </row>
    <row r="583" spans="1:22" x14ac:dyDescent="0.3">
      <c r="V583" t="s">
        <v>15</v>
      </c>
    </row>
    <row r="584" spans="1:22" x14ac:dyDescent="0.3">
      <c r="D584">
        <v>17</v>
      </c>
      <c r="S584">
        <v>0</v>
      </c>
      <c r="U584" t="s">
        <v>67</v>
      </c>
      <c r="V584" s="1">
        <v>491247</v>
      </c>
    </row>
    <row r="585" spans="1:22" x14ac:dyDescent="0.3">
      <c r="D585" t="s">
        <v>15</v>
      </c>
    </row>
    <row r="586" spans="1:22" x14ac:dyDescent="0.3">
      <c r="A586">
        <v>3</v>
      </c>
      <c r="C586" t="s">
        <v>16</v>
      </c>
      <c r="D586" s="1">
        <v>33070</v>
      </c>
      <c r="S586" t="s">
        <v>0</v>
      </c>
      <c r="T586" t="s">
        <v>1</v>
      </c>
    </row>
    <row r="587" spans="1:22" x14ac:dyDescent="0.3">
      <c r="A587">
        <v>6</v>
      </c>
      <c r="C587" t="s">
        <v>17</v>
      </c>
      <c r="D587" s="1">
        <v>358588</v>
      </c>
      <c r="S587" t="s">
        <v>2</v>
      </c>
      <c r="T587">
        <v>1200</v>
      </c>
    </row>
    <row r="588" spans="1:22" x14ac:dyDescent="0.3">
      <c r="S588" t="s">
        <v>3</v>
      </c>
      <c r="T588" t="s">
        <v>4</v>
      </c>
    </row>
    <row r="589" spans="1:22" x14ac:dyDescent="0.3">
      <c r="A589" t="s">
        <v>0</v>
      </c>
      <c r="B589" t="s">
        <v>1</v>
      </c>
      <c r="S589" t="s">
        <v>5</v>
      </c>
      <c r="T589" t="s">
        <v>6</v>
      </c>
      <c r="U589" t="s">
        <v>7</v>
      </c>
    </row>
    <row r="590" spans="1:22" x14ac:dyDescent="0.3">
      <c r="A590" t="s">
        <v>2</v>
      </c>
      <c r="B590">
        <v>1200</v>
      </c>
      <c r="S590" t="s">
        <v>8</v>
      </c>
      <c r="T590" t="s">
        <v>9</v>
      </c>
    </row>
    <row r="591" spans="1:22" x14ac:dyDescent="0.3">
      <c r="A591" t="s">
        <v>3</v>
      </c>
      <c r="B591" t="s">
        <v>4</v>
      </c>
      <c r="S591" t="s">
        <v>10</v>
      </c>
      <c r="T591">
        <v>380</v>
      </c>
      <c r="U591" t="s">
        <v>11</v>
      </c>
    </row>
    <row r="592" spans="1:22" x14ac:dyDescent="0.3">
      <c r="A592" t="s">
        <v>5</v>
      </c>
      <c r="B592" t="s">
        <v>6</v>
      </c>
      <c r="C592" t="s">
        <v>7</v>
      </c>
      <c r="S592" t="s">
        <v>12</v>
      </c>
      <c r="T592">
        <v>46000</v>
      </c>
      <c r="U592" t="s">
        <v>62</v>
      </c>
    </row>
    <row r="593" spans="1:22" x14ac:dyDescent="0.3">
      <c r="A593" t="s">
        <v>8</v>
      </c>
      <c r="B593" t="s">
        <v>9</v>
      </c>
      <c r="S593" t="s">
        <v>14</v>
      </c>
      <c r="T593">
        <v>2010000000</v>
      </c>
      <c r="U593" t="s">
        <v>6</v>
      </c>
    </row>
    <row r="594" spans="1:22" x14ac:dyDescent="0.3">
      <c r="A594" t="s">
        <v>10</v>
      </c>
      <c r="B594">
        <v>380</v>
      </c>
      <c r="C594" t="s">
        <v>11</v>
      </c>
    </row>
    <row r="595" spans="1:22" x14ac:dyDescent="0.3">
      <c r="A595" t="s">
        <v>12</v>
      </c>
      <c r="B595">
        <v>43000</v>
      </c>
      <c r="C595" t="s">
        <v>59</v>
      </c>
      <c r="V595">
        <v>17</v>
      </c>
    </row>
    <row r="596" spans="1:22" x14ac:dyDescent="0.3">
      <c r="A596" t="s">
        <v>14</v>
      </c>
      <c r="B596">
        <v>2010000000</v>
      </c>
      <c r="C596" t="s">
        <v>6</v>
      </c>
      <c r="V596" t="s">
        <v>15</v>
      </c>
    </row>
    <row r="597" spans="1:22" x14ac:dyDescent="0.3">
      <c r="S597">
        <v>0</v>
      </c>
      <c r="U597" t="s">
        <v>67</v>
      </c>
      <c r="V597" s="1">
        <v>732130</v>
      </c>
    </row>
    <row r="598" spans="1:22" x14ac:dyDescent="0.3">
      <c r="D598">
        <v>17</v>
      </c>
    </row>
    <row r="599" spans="1:22" x14ac:dyDescent="0.3">
      <c r="D599" t="s">
        <v>15</v>
      </c>
      <c r="S599" t="s">
        <v>0</v>
      </c>
      <c r="T599" t="s">
        <v>1</v>
      </c>
    </row>
    <row r="600" spans="1:22" x14ac:dyDescent="0.3">
      <c r="A600">
        <v>3</v>
      </c>
      <c r="C600" t="s">
        <v>16</v>
      </c>
      <c r="D600" s="1">
        <v>30840</v>
      </c>
      <c r="S600" t="s">
        <v>2</v>
      </c>
      <c r="T600">
        <v>1200</v>
      </c>
    </row>
    <row r="601" spans="1:22" x14ac:dyDescent="0.3">
      <c r="A601">
        <v>6</v>
      </c>
      <c r="C601" t="s">
        <v>17</v>
      </c>
      <c r="D601" s="1">
        <v>521559</v>
      </c>
      <c r="S601" t="s">
        <v>3</v>
      </c>
      <c r="T601" t="s">
        <v>4</v>
      </c>
    </row>
    <row r="602" spans="1:22" x14ac:dyDescent="0.3">
      <c r="S602" t="s">
        <v>5</v>
      </c>
      <c r="T602" t="s">
        <v>6</v>
      </c>
      <c r="U602" t="s">
        <v>7</v>
      </c>
    </row>
    <row r="603" spans="1:22" x14ac:dyDescent="0.3">
      <c r="A603" t="s">
        <v>0</v>
      </c>
      <c r="B603" t="s">
        <v>1</v>
      </c>
      <c r="S603" t="s">
        <v>8</v>
      </c>
      <c r="T603" t="s">
        <v>9</v>
      </c>
    </row>
    <row r="604" spans="1:22" x14ac:dyDescent="0.3">
      <c r="A604" t="s">
        <v>2</v>
      </c>
      <c r="B604">
        <v>1200</v>
      </c>
      <c r="S604" t="s">
        <v>10</v>
      </c>
      <c r="T604">
        <v>380</v>
      </c>
      <c r="U604" t="s">
        <v>11</v>
      </c>
    </row>
    <row r="605" spans="1:22" x14ac:dyDescent="0.3">
      <c r="A605" t="s">
        <v>3</v>
      </c>
      <c r="B605" t="s">
        <v>4</v>
      </c>
      <c r="S605" t="s">
        <v>12</v>
      </c>
      <c r="T605">
        <v>47000</v>
      </c>
      <c r="U605" t="s">
        <v>63</v>
      </c>
    </row>
    <row r="606" spans="1:22" x14ac:dyDescent="0.3">
      <c r="A606" t="s">
        <v>5</v>
      </c>
      <c r="B606" t="s">
        <v>6</v>
      </c>
      <c r="C606" t="s">
        <v>7</v>
      </c>
      <c r="S606" t="s">
        <v>14</v>
      </c>
      <c r="T606">
        <v>2010000000</v>
      </c>
      <c r="U606" t="s">
        <v>6</v>
      </c>
    </row>
    <row r="607" spans="1:22" x14ac:dyDescent="0.3">
      <c r="A607" t="s">
        <v>8</v>
      </c>
      <c r="B607" t="s">
        <v>9</v>
      </c>
    </row>
    <row r="608" spans="1:22" x14ac:dyDescent="0.3">
      <c r="A608" t="s">
        <v>10</v>
      </c>
      <c r="B608">
        <v>380</v>
      </c>
      <c r="C608" t="s">
        <v>11</v>
      </c>
      <c r="V608">
        <v>17</v>
      </c>
    </row>
    <row r="609" spans="1:22" x14ac:dyDescent="0.3">
      <c r="A609" t="s">
        <v>12</v>
      </c>
      <c r="B609">
        <v>44000</v>
      </c>
      <c r="C609" t="s">
        <v>60</v>
      </c>
      <c r="V609" t="s">
        <v>15</v>
      </c>
    </row>
    <row r="610" spans="1:22" x14ac:dyDescent="0.3">
      <c r="A610" t="s">
        <v>14</v>
      </c>
      <c r="B610">
        <v>2010000000</v>
      </c>
      <c r="C610" t="s">
        <v>6</v>
      </c>
      <c r="S610">
        <v>0</v>
      </c>
      <c r="U610" t="s">
        <v>67</v>
      </c>
      <c r="V610" s="1">
        <v>590058</v>
      </c>
    </row>
    <row r="612" spans="1:22" x14ac:dyDescent="0.3">
      <c r="D612">
        <v>17</v>
      </c>
    </row>
    <row r="613" spans="1:22" x14ac:dyDescent="0.3">
      <c r="D613" t="s">
        <v>15</v>
      </c>
    </row>
    <row r="614" spans="1:22" x14ac:dyDescent="0.3">
      <c r="A614">
        <v>3</v>
      </c>
      <c r="C614" t="s">
        <v>16</v>
      </c>
      <c r="D614" s="1">
        <v>21949</v>
      </c>
    </row>
    <row r="615" spans="1:22" x14ac:dyDescent="0.3">
      <c r="A615">
        <v>6</v>
      </c>
      <c r="C615" t="s">
        <v>17</v>
      </c>
      <c r="D615" s="1">
        <v>363796</v>
      </c>
    </row>
    <row r="617" spans="1:22" x14ac:dyDescent="0.3">
      <c r="A617" t="s">
        <v>0</v>
      </c>
      <c r="B617" t="s">
        <v>1</v>
      </c>
    </row>
    <row r="618" spans="1:22" x14ac:dyDescent="0.3">
      <c r="A618" t="s">
        <v>2</v>
      </c>
      <c r="B618">
        <v>1200</v>
      </c>
    </row>
    <row r="619" spans="1:22" x14ac:dyDescent="0.3">
      <c r="A619" t="s">
        <v>3</v>
      </c>
      <c r="B619" t="s">
        <v>4</v>
      </c>
    </row>
    <row r="620" spans="1:22" x14ac:dyDescent="0.3">
      <c r="A620" t="s">
        <v>5</v>
      </c>
      <c r="B620" t="s">
        <v>6</v>
      </c>
      <c r="C620" t="s">
        <v>7</v>
      </c>
    </row>
    <row r="621" spans="1:22" x14ac:dyDescent="0.3">
      <c r="A621" t="s">
        <v>8</v>
      </c>
      <c r="B621" t="s">
        <v>9</v>
      </c>
    </row>
    <row r="622" spans="1:22" x14ac:dyDescent="0.3">
      <c r="A622" t="s">
        <v>10</v>
      </c>
      <c r="B622">
        <v>380</v>
      </c>
      <c r="C622" t="s">
        <v>11</v>
      </c>
    </row>
    <row r="623" spans="1:22" x14ac:dyDescent="0.3">
      <c r="A623" t="s">
        <v>12</v>
      </c>
      <c r="B623">
        <v>45000</v>
      </c>
      <c r="C623" t="s">
        <v>61</v>
      </c>
    </row>
    <row r="624" spans="1:22" x14ac:dyDescent="0.3">
      <c r="A624" t="s">
        <v>14</v>
      </c>
      <c r="B624">
        <v>2010000000</v>
      </c>
      <c r="C624" t="s">
        <v>6</v>
      </c>
    </row>
    <row r="626" spans="1:4" x14ac:dyDescent="0.3">
      <c r="D626">
        <v>17</v>
      </c>
    </row>
    <row r="627" spans="1:4" x14ac:dyDescent="0.3">
      <c r="D627" t="s">
        <v>15</v>
      </c>
    </row>
    <row r="628" spans="1:4" x14ac:dyDescent="0.3">
      <c r="A628">
        <v>3</v>
      </c>
      <c r="C628" t="s">
        <v>16</v>
      </c>
      <c r="D628" s="1">
        <v>9434</v>
      </c>
    </row>
    <row r="629" spans="1:4" x14ac:dyDescent="0.3">
      <c r="A629">
        <v>6</v>
      </c>
      <c r="C629" t="s">
        <v>17</v>
      </c>
      <c r="D629" s="1">
        <v>359031</v>
      </c>
    </row>
    <row r="631" spans="1:4" x14ac:dyDescent="0.3">
      <c r="A631" t="s">
        <v>0</v>
      </c>
      <c r="B631" t="s">
        <v>1</v>
      </c>
    </row>
    <row r="632" spans="1:4" x14ac:dyDescent="0.3">
      <c r="A632" t="s">
        <v>2</v>
      </c>
      <c r="B632">
        <v>1200</v>
      </c>
    </row>
    <row r="633" spans="1:4" x14ac:dyDescent="0.3">
      <c r="A633" t="s">
        <v>3</v>
      </c>
      <c r="B633" t="s">
        <v>4</v>
      </c>
    </row>
    <row r="634" spans="1:4" x14ac:dyDescent="0.3">
      <c r="A634" t="s">
        <v>5</v>
      </c>
      <c r="B634" t="s">
        <v>6</v>
      </c>
      <c r="C634" t="s">
        <v>7</v>
      </c>
    </row>
    <row r="635" spans="1:4" x14ac:dyDescent="0.3">
      <c r="A635" t="s">
        <v>8</v>
      </c>
      <c r="B635" t="s">
        <v>9</v>
      </c>
    </row>
    <row r="636" spans="1:4" x14ac:dyDescent="0.3">
      <c r="A636" t="s">
        <v>10</v>
      </c>
      <c r="B636">
        <v>380</v>
      </c>
      <c r="C636" t="s">
        <v>11</v>
      </c>
    </row>
    <row r="637" spans="1:4" x14ac:dyDescent="0.3">
      <c r="A637" t="s">
        <v>12</v>
      </c>
      <c r="B637">
        <v>46000</v>
      </c>
      <c r="C637" t="s">
        <v>62</v>
      </c>
    </row>
    <row r="638" spans="1:4" x14ac:dyDescent="0.3">
      <c r="A638" t="s">
        <v>14</v>
      </c>
      <c r="B638">
        <v>2010000000</v>
      </c>
      <c r="C638" t="s">
        <v>6</v>
      </c>
    </row>
    <row r="640" spans="1:4" x14ac:dyDescent="0.3">
      <c r="D640">
        <v>17</v>
      </c>
    </row>
    <row r="641" spans="1:4" x14ac:dyDescent="0.3">
      <c r="D641" t="s">
        <v>15</v>
      </c>
    </row>
    <row r="642" spans="1:4" x14ac:dyDescent="0.3">
      <c r="A642">
        <v>3</v>
      </c>
      <c r="C642" t="s">
        <v>16</v>
      </c>
      <c r="D642" s="1">
        <v>32456</v>
      </c>
    </row>
    <row r="643" spans="1:4" x14ac:dyDescent="0.3">
      <c r="A643">
        <v>6</v>
      </c>
      <c r="C643" t="s">
        <v>17</v>
      </c>
      <c r="D643" s="1">
        <v>480366</v>
      </c>
    </row>
    <row r="645" spans="1:4" x14ac:dyDescent="0.3">
      <c r="A645" t="s">
        <v>0</v>
      </c>
      <c r="B645" t="s">
        <v>1</v>
      </c>
    </row>
    <row r="646" spans="1:4" x14ac:dyDescent="0.3">
      <c r="A646" t="s">
        <v>2</v>
      </c>
      <c r="B646">
        <v>1200</v>
      </c>
    </row>
    <row r="647" spans="1:4" x14ac:dyDescent="0.3">
      <c r="A647" t="s">
        <v>3</v>
      </c>
      <c r="B647" t="s">
        <v>4</v>
      </c>
    </row>
    <row r="648" spans="1:4" x14ac:dyDescent="0.3">
      <c r="A648" t="s">
        <v>5</v>
      </c>
      <c r="B648" t="s">
        <v>6</v>
      </c>
      <c r="C648" t="s">
        <v>7</v>
      </c>
    </row>
    <row r="649" spans="1:4" x14ac:dyDescent="0.3">
      <c r="A649" t="s">
        <v>8</v>
      </c>
      <c r="B649" t="s">
        <v>9</v>
      </c>
    </row>
    <row r="650" spans="1:4" x14ac:dyDescent="0.3">
      <c r="A650" t="s">
        <v>10</v>
      </c>
      <c r="B650">
        <v>380</v>
      </c>
      <c r="C650" t="s">
        <v>11</v>
      </c>
    </row>
    <row r="651" spans="1:4" x14ac:dyDescent="0.3">
      <c r="A651" t="s">
        <v>12</v>
      </c>
      <c r="B651">
        <v>47000</v>
      </c>
      <c r="C651" t="s">
        <v>63</v>
      </c>
    </row>
    <row r="652" spans="1:4" x14ac:dyDescent="0.3">
      <c r="A652" t="s">
        <v>14</v>
      </c>
      <c r="B652">
        <v>2010000000</v>
      </c>
      <c r="C652" t="s">
        <v>6</v>
      </c>
    </row>
    <row r="654" spans="1:4" x14ac:dyDescent="0.3">
      <c r="D654">
        <v>17</v>
      </c>
    </row>
    <row r="655" spans="1:4" x14ac:dyDescent="0.3">
      <c r="D655" t="s">
        <v>15</v>
      </c>
    </row>
    <row r="656" spans="1:4" x14ac:dyDescent="0.3">
      <c r="A656">
        <v>3</v>
      </c>
      <c r="C656" t="s">
        <v>16</v>
      </c>
      <c r="D656" s="1">
        <v>7761</v>
      </c>
    </row>
    <row r="657" spans="1:4" x14ac:dyDescent="0.3">
      <c r="A657">
        <v>6</v>
      </c>
      <c r="C657" t="s">
        <v>17</v>
      </c>
      <c r="D657" s="1">
        <v>379202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通勤手段.csv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2017-05-31T05:45:23Z</dcterms:created>
  <dcterms:modified xsi:type="dcterms:W3CDTF">2017-06-01T09:32:33Z</dcterms:modified>
</cp:coreProperties>
</file>